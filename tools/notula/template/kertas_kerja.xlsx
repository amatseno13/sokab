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8400" yWindow="1120" windowWidth="12440" windowHeight="16360" tabRatio="600" firstSheet="0" activeTab="0" autoFilterDateGrouping="1"/>
  </bookViews>
  <sheets>
    <sheet xmlns:r="http://schemas.openxmlformats.org/officeDocument/2006/relationships" name="LK_Kabkot" sheetId="1" state="visible" r:id="rId1"/>
    <sheet xmlns:r="http://schemas.openxmlformats.org/officeDocument/2006/relationships" name="1.1.1.1" sheetId="2" state="visible" r:id="rId2"/>
    <sheet xmlns:r="http://schemas.openxmlformats.org/officeDocument/2006/relationships" name="1.1.3.1." sheetId="3" state="visible" r:id="rId3"/>
    <sheet xmlns:r="http://schemas.openxmlformats.org/officeDocument/2006/relationships" name="1.1.5.1" sheetId="4" state="visible" r:id="rId4"/>
    <sheet xmlns:r="http://schemas.openxmlformats.org/officeDocument/2006/relationships" name="1.2.1.1." sheetId="5" state="visible" r:id="rId5"/>
    <sheet xmlns:r="http://schemas.openxmlformats.org/officeDocument/2006/relationships" name="1.2.2.1." sheetId="6" state="visible" r:id="rId6"/>
    <sheet xmlns:r="http://schemas.openxmlformats.org/officeDocument/2006/relationships" name="1.2.3.1." sheetId="7" state="visible" r:id="rId7"/>
    <sheet xmlns:r="http://schemas.openxmlformats.org/officeDocument/2006/relationships" name="1.3.1.1." sheetId="8" state="visible" r:id="rId8"/>
    <sheet xmlns:r="http://schemas.openxmlformats.org/officeDocument/2006/relationships" name="1.3.3.1." sheetId="9" state="visible" r:id="rId9"/>
    <sheet xmlns:r="http://schemas.openxmlformats.org/officeDocument/2006/relationships" name="1.3.5.1." sheetId="10" state="visible" r:id="rId10"/>
    <sheet xmlns:r="http://schemas.openxmlformats.org/officeDocument/2006/relationships" name="1.4.1.1." sheetId="11" state="visible" r:id="rId11"/>
    <sheet xmlns:r="http://schemas.openxmlformats.org/officeDocument/2006/relationships" name="1.4.1.2" sheetId="12" state="visible" r:id="rId12"/>
    <sheet xmlns:r="http://schemas.openxmlformats.org/officeDocument/2006/relationships" name="1.4.1.3" sheetId="13" state="visible" r:id="rId13"/>
    <sheet xmlns:r="http://schemas.openxmlformats.org/officeDocument/2006/relationships" name="2.1.4.1." sheetId="14" state="visible" r:id="rId14"/>
    <sheet xmlns:r="http://schemas.openxmlformats.org/officeDocument/2006/relationships" name="2.5.1.1." sheetId="15" state="visible" r:id="rId15"/>
    <sheet xmlns:r="http://schemas.openxmlformats.org/officeDocument/2006/relationships" name="2.7.1.1." sheetId="16" state="visible" r:id="rId16"/>
    <sheet xmlns:r="http://schemas.openxmlformats.org/officeDocument/2006/relationships" name="Anggaran" sheetId="17" state="visible" r:id="rId17"/>
    <sheet xmlns:r="http://schemas.openxmlformats.org/officeDocument/2006/relationships" name="FRA_input" sheetId="18" state="hidden" r:id="rId18"/>
    <sheet xmlns:r="http://schemas.openxmlformats.org/officeDocument/2006/relationships" name="FRA_view" sheetId="19" state="hidden" r:id="rId19"/>
  </sheets>
  <definedNames/>
  <calcPr calcId="191028" fullCalcOnLoad="1"/>
</workbook>
</file>

<file path=xl/styles.xml><?xml version="1.0" encoding="utf-8"?>
<styleSheet xmlns="http://schemas.openxmlformats.org/spreadsheetml/2006/main">
  <numFmts count="0"/>
  <fonts count="26">
    <font>
      <name val="Aptos Narrow"/>
      <color theme="1"/>
      <sz val="11"/>
      <scheme val="minor"/>
    </font>
    <font>
      <name val="Arial"/>
      <family val="2"/>
      <b val="1"/>
      <color theme="1"/>
      <sz val="20"/>
    </font>
    <font>
      <name val="Arial"/>
      <family val="2"/>
      <color theme="1"/>
      <sz val="11"/>
    </font>
    <font>
      <name val="Arial"/>
      <family val="2"/>
      <b val="1"/>
      <color rgb="FFFF0000"/>
      <sz val="11"/>
    </font>
    <font>
      <name val="Arial"/>
      <family val="2"/>
      <b val="1"/>
      <color theme="1"/>
      <sz val="11"/>
    </font>
    <font>
      <name val="Aptos Narrow"/>
      <sz val="11"/>
    </font>
    <font>
      <name val="Aptos Narrow"/>
      <color theme="1"/>
      <sz val="11"/>
    </font>
    <font>
      <name val="Arial"/>
      <family val="2"/>
      <color rgb="FFFF0000"/>
      <sz val="11"/>
    </font>
    <font>
      <name val="Arial"/>
      <family val="2"/>
      <b val="1"/>
      <color theme="1"/>
      <sz val="12"/>
    </font>
    <font>
      <name val="Aptos Narrow"/>
      <b val="1"/>
      <color theme="1"/>
      <sz val="11"/>
    </font>
    <font>
      <name val="Aptos Narrow"/>
      <b val="1"/>
      <color rgb="FFFF0000"/>
      <sz val="11"/>
    </font>
    <font>
      <name val="Aptos Narrow"/>
      <color theme="0"/>
      <sz val="11"/>
    </font>
    <font>
      <name val="Aptos Narrow"/>
      <b val="1"/>
      <color theme="0"/>
      <sz val="14"/>
    </font>
    <font>
      <name val="Arial"/>
      <family val="2"/>
      <i val="1"/>
      <color theme="1"/>
      <sz val="11"/>
    </font>
    <font>
      <name val="Arial"/>
      <family val="2"/>
      <color rgb="FF000000"/>
      <sz val="11"/>
    </font>
    <font>
      <name val="Arial"/>
      <family val="2"/>
      <i val="1"/>
      <color rgb="FF000000"/>
      <sz val="11"/>
    </font>
    <font>
      <name val="Arial"/>
      <charset val="1"/>
      <family val="2"/>
      <color rgb="FF000000"/>
      <sz val="11"/>
    </font>
    <font>
      <name val="Arial"/>
      <charset val="1"/>
      <family val="2"/>
      <color theme="1"/>
      <sz val="11"/>
    </font>
    <font>
      <name val="Arial"/>
      <family val="2"/>
      <color theme="1"/>
      <sz val="11"/>
    </font>
    <font>
      <name val="Arial"/>
      <family val="2"/>
      <color rgb="FF000000"/>
      <sz val="11"/>
    </font>
    <font>
      <name val="Aptos Narrow"/>
      <color theme="10"/>
      <sz val="11"/>
      <u val="single"/>
      <scheme val="minor"/>
    </font>
    <font>
      <name val="Arial"/>
      <family val="2"/>
      <b val="1"/>
      <color rgb="FF000000"/>
      <sz val="11"/>
    </font>
    <font>
      <name val="Arial"/>
      <family val="2"/>
      <b val="1"/>
      <color rgb="FF000000"/>
      <sz val="11"/>
    </font>
    <font>
      <name val="Arial"/>
      <charset val="1"/>
      <family val="2"/>
      <color rgb="FFFF0000"/>
      <sz val="11"/>
    </font>
    <font>
      <name val="Arial"/>
      <charset val="1"/>
      <family val="2"/>
      <i val="1"/>
      <color rgb="FF000000"/>
      <sz val="11"/>
    </font>
    <font>
      <name val="Arial"/>
      <charset val="1"/>
      <family val="2"/>
      <i val="1"/>
      <color theme="1"/>
      <sz val="11"/>
    </font>
  </fonts>
  <fills count="12">
    <fill>
      <patternFill/>
    </fill>
    <fill>
      <patternFill patternType="gray125"/>
    </fill>
    <fill>
      <patternFill patternType="solid">
        <fgColor rgb="FFDBE9F7"/>
        <bgColor rgb="FFDBE9F7"/>
      </patternFill>
    </fill>
    <fill>
      <patternFill patternType="solid">
        <fgColor rgb="FFD9F2D0"/>
        <bgColor rgb="FFD9F2D0"/>
      </patternFill>
    </fill>
    <fill>
      <patternFill patternType="solid">
        <fgColor rgb="FFC1E4F5"/>
        <bgColor rgb="FFC1E4F5"/>
      </patternFill>
    </fill>
    <fill>
      <patternFill patternType="solid">
        <fgColor rgb="FFB3E5A1"/>
        <bgColor rgb="FFB3E5A1"/>
      </patternFill>
    </fill>
    <fill>
      <patternFill patternType="solid">
        <fgColor rgb="FFFAE2D5"/>
        <bgColor rgb="FFFAE2D5"/>
      </patternFill>
    </fill>
    <fill>
      <patternFill patternType="solid">
        <fgColor rgb="FF595959"/>
        <bgColor rgb="FF595959"/>
      </patternFill>
    </fill>
    <fill>
      <patternFill patternType="solid">
        <fgColor rgb="FFE8E8E8"/>
        <bgColor rgb="FFE8E8E8"/>
      </patternFill>
    </fill>
    <fill>
      <patternFill patternType="solid">
        <fgColor theme="1"/>
        <bgColor theme="1"/>
      </patternFill>
    </fill>
    <fill>
      <patternFill patternType="solid">
        <fgColor rgb="FFDBE9F7"/>
        <bgColor rgb="FF000000"/>
      </patternFill>
    </fill>
    <fill>
      <patternFill patternType="solid">
        <fgColor rgb="FFDCE8F7"/>
        <bgColor indexed="64"/>
      </patternFill>
    </fill>
  </fills>
  <borders count="21">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2">
    <xf numFmtId="0" fontId="0" fillId="0" borderId="1"/>
    <xf numFmtId="0" fontId="20" fillId="0" borderId="1"/>
  </cellStyleXfs>
  <cellXfs count="219">
    <xf numFmtId="0" fontId="0" fillId="0" borderId="0" pivotButton="0" quotePrefix="0" xfId="0"/>
    <xf numFmtId="0" fontId="2" fillId="0" borderId="0" applyAlignment="1" pivotButton="0" quotePrefix="0" xfId="0">
      <alignment vertical="top"/>
    </xf>
    <xf numFmtId="0" fontId="2" fillId="0" borderId="0" applyAlignment="1" pivotButton="0" quotePrefix="0" xfId="0">
      <alignment horizontal="left" vertical="top"/>
    </xf>
    <xf numFmtId="0" fontId="3" fillId="0" borderId="0" applyAlignment="1" pivotButton="0" quotePrefix="0" xfId="0">
      <alignment horizontal="left" vertical="top"/>
    </xf>
    <xf numFmtId="0" fontId="4" fillId="0" borderId="0" applyAlignment="1" pivotButton="0" quotePrefix="0" xfId="0">
      <alignment horizontal="center" vertical="top"/>
    </xf>
    <xf numFmtId="0" fontId="4" fillId="0" borderId="0" applyAlignment="1" pivotButton="0" quotePrefix="0" xfId="0">
      <alignment horizontal="center" vertical="top" wrapText="1"/>
    </xf>
    <xf numFmtId="0" fontId="2" fillId="2" borderId="1" applyAlignment="1" pivotButton="0" quotePrefix="0" xfId="0">
      <alignment vertical="top"/>
    </xf>
    <xf numFmtId="0" fontId="2" fillId="0" borderId="0" applyAlignment="1" pivotButton="0" quotePrefix="0" xfId="0">
      <alignment horizontal="center" vertical="top"/>
    </xf>
    <xf numFmtId="0" fontId="4" fillId="0" borderId="0" applyAlignment="1" pivotButton="0" quotePrefix="0" xfId="0">
      <alignment horizontal="center" vertical="center" wrapText="1"/>
    </xf>
    <xf numFmtId="0" fontId="6" fillId="0" borderId="0" applyAlignment="1" pivotButton="0" quotePrefix="0" xfId="0">
      <alignment vertical="center"/>
    </xf>
    <xf numFmtId="0" fontId="4" fillId="3" borderId="16" applyAlignment="1" pivotButton="0" quotePrefix="0" xfId="0">
      <alignment horizontal="center" vertical="center" wrapText="1"/>
    </xf>
    <xf numFmtId="0" fontId="4" fillId="4" borderId="16" applyAlignment="1" pivotButton="0" quotePrefix="0" xfId="0">
      <alignment horizontal="center" vertical="center" wrapText="1"/>
    </xf>
    <xf numFmtId="0" fontId="2" fillId="0" borderId="16" applyAlignment="1" pivotButton="0" quotePrefix="0" xfId="0">
      <alignment vertical="top"/>
    </xf>
    <xf numFmtId="0" fontId="2" fillId="0" borderId="16" applyAlignment="1" pivotButton="0" quotePrefix="0" xfId="0">
      <alignment horizontal="center" vertical="top"/>
    </xf>
    <xf numFmtId="2" fontId="2" fillId="0" borderId="16" applyAlignment="1" pivotButton="0" quotePrefix="0" xfId="0">
      <alignment vertical="top"/>
    </xf>
    <xf numFmtId="0" fontId="2" fillId="0" borderId="16" applyAlignment="1" pivotButton="0" quotePrefix="0" xfId="0">
      <alignment horizontal="right" vertical="top"/>
    </xf>
    <xf numFmtId="0" fontId="2" fillId="2" borderId="16" applyAlignment="1" pivotButton="0" quotePrefix="0" xfId="0">
      <alignment vertical="top"/>
    </xf>
    <xf numFmtId="2" fontId="2" fillId="0" borderId="16" applyAlignment="1" pivotButton="0" quotePrefix="0" xfId="0">
      <alignment horizontal="right" vertical="top"/>
    </xf>
    <xf numFmtId="9" fontId="2" fillId="0" borderId="16" applyAlignment="1" pivotButton="0" quotePrefix="0" xfId="0">
      <alignment horizontal="right" vertical="top"/>
    </xf>
    <xf numFmtId="0" fontId="2" fillId="7" borderId="16" applyAlignment="1" pivotButton="0" quotePrefix="0" xfId="0">
      <alignment vertical="top"/>
    </xf>
    <xf numFmtId="0" fontId="7" fillId="0" borderId="16" applyAlignment="1" pivotButton="0" quotePrefix="0" xfId="0">
      <alignment vertical="top"/>
    </xf>
    <xf numFmtId="2" fontId="7" fillId="0" borderId="16" applyAlignment="1" pivotButton="0" quotePrefix="0" xfId="0">
      <alignment vertical="top"/>
    </xf>
    <xf numFmtId="0" fontId="2" fillId="0" borderId="6" applyAlignment="1" pivotButton="0" quotePrefix="0" xfId="0">
      <alignment vertical="top"/>
    </xf>
    <xf numFmtId="0" fontId="2" fillId="0" borderId="7" applyAlignment="1" pivotButton="0" quotePrefix="0" xfId="0">
      <alignment vertical="top"/>
    </xf>
    <xf numFmtId="0" fontId="2" fillId="0" borderId="8" applyAlignment="1" pivotButton="0" quotePrefix="0" xfId="0">
      <alignment vertical="top" wrapText="1"/>
    </xf>
    <xf numFmtId="0" fontId="6" fillId="0" borderId="7" pivotButton="0" quotePrefix="0" xfId="0"/>
    <xf numFmtId="0" fontId="6" fillId="0" borderId="8" pivotButton="0" quotePrefix="0" xfId="0"/>
    <xf numFmtId="0" fontId="2" fillId="0" borderId="5" applyAlignment="1" pivotButton="0" quotePrefix="0" xfId="0">
      <alignment horizontal="right" vertical="top"/>
    </xf>
    <xf numFmtId="0" fontId="2" fillId="7" borderId="16" applyAlignment="1" pivotButton="0" quotePrefix="0" xfId="0">
      <alignment horizontal="center" vertical="top"/>
    </xf>
    <xf numFmtId="0" fontId="8" fillId="0" borderId="16" applyAlignment="1" pivotButton="0" quotePrefix="0" xfId="0">
      <alignment horizontal="right"/>
    </xf>
    <xf numFmtId="0" fontId="8" fillId="0" borderId="15" applyAlignment="1" pivotButton="0" quotePrefix="0" xfId="0">
      <alignment horizontal="right" vertical="top"/>
    </xf>
    <xf numFmtId="0" fontId="8" fillId="0" borderId="16" applyAlignment="1" pivotButton="0" quotePrefix="0" xfId="0">
      <alignment horizontal="right" vertical="top"/>
    </xf>
    <xf numFmtId="0" fontId="6" fillId="0" borderId="0" pivotButton="0" quotePrefix="0" xfId="0"/>
    <xf numFmtId="0" fontId="6" fillId="0" borderId="0" applyAlignment="1" pivotButton="0" quotePrefix="0" xfId="0">
      <alignment horizontal="center"/>
    </xf>
    <xf numFmtId="0" fontId="9" fillId="3" borderId="16" applyAlignment="1" pivotButton="0" quotePrefix="0" xfId="0">
      <alignment horizontal="center"/>
    </xf>
    <xf numFmtId="0" fontId="10" fillId="0" borderId="16" applyAlignment="1" pivotButton="0" quotePrefix="0" xfId="0">
      <alignment horizontal="left" vertical="center"/>
    </xf>
    <xf numFmtId="0" fontId="9" fillId="0" borderId="16" applyAlignment="1" pivotButton="0" quotePrefix="0" xfId="0">
      <alignment horizontal="center" vertical="center"/>
    </xf>
    <xf numFmtId="0" fontId="9" fillId="0" borderId="16" applyAlignment="1" pivotButton="0" quotePrefix="0" xfId="0">
      <alignment horizontal="center"/>
    </xf>
    <xf numFmtId="0" fontId="9" fillId="0" borderId="16" applyAlignment="1" pivotButton="0" quotePrefix="0" xfId="0">
      <alignment horizontal="center" vertical="center" wrapText="1"/>
    </xf>
    <xf numFmtId="0" fontId="6" fillId="0" borderId="16" pivotButton="0" quotePrefix="0" xfId="0"/>
    <xf numFmtId="0" fontId="6" fillId="2" borderId="16" pivotButton="0" quotePrefix="0" xfId="0"/>
    <xf numFmtId="0" fontId="6" fillId="9" borderId="16" pivotButton="0" quotePrefix="0" xfId="0"/>
    <xf numFmtId="0" fontId="6" fillId="8" borderId="16" pivotButton="0" quotePrefix="0" xfId="0"/>
    <xf numFmtId="0" fontId="9" fillId="8" borderId="16" applyAlignment="1" pivotButton="0" quotePrefix="0" xfId="0">
      <alignment horizontal="right"/>
    </xf>
    <xf numFmtId="0" fontId="11" fillId="9" borderId="16" pivotButton="0" quotePrefix="0" xfId="0"/>
    <xf numFmtId="0" fontId="6" fillId="3" borderId="1" pivotButton="0" quotePrefix="0" xfId="0"/>
    <xf numFmtId="0" fontId="10" fillId="0" borderId="0" pivotButton="0" quotePrefix="0" xfId="0"/>
    <xf numFmtId="0" fontId="6" fillId="6" borderId="16" pivotButton="0" quotePrefix="0" xfId="0"/>
    <xf numFmtId="0" fontId="16" fillId="0" borderId="16" pivotButton="0" quotePrefix="0" xfId="0"/>
    <xf numFmtId="0" fontId="16" fillId="0" borderId="8" applyAlignment="1" pivotButton="0" quotePrefix="0" xfId="0">
      <alignment wrapText="1"/>
    </xf>
    <xf numFmtId="0" fontId="16" fillId="0" borderId="4" applyAlignment="1" pivotButton="0" quotePrefix="0" xfId="0">
      <alignment wrapText="1"/>
    </xf>
    <xf numFmtId="0" fontId="16" fillId="0" borderId="1" applyAlignment="1" pivotButton="0" quotePrefix="0" xfId="0">
      <alignment wrapText="1"/>
    </xf>
    <xf numFmtId="0" fontId="16" fillId="0" borderId="1" pivotButton="0" quotePrefix="0" xfId="0"/>
    <xf numFmtId="0" fontId="16" fillId="0" borderId="14" applyAlignment="1" pivotButton="0" quotePrefix="0" xfId="0">
      <alignment vertical="center" wrapText="1"/>
    </xf>
    <xf numFmtId="0" fontId="16" fillId="0" borderId="15" applyAlignment="1" pivotButton="0" quotePrefix="0" xfId="0">
      <alignment vertical="center" wrapText="1"/>
    </xf>
    <xf numFmtId="0" fontId="16" fillId="0" borderId="12" applyAlignment="1" pivotButton="0" quotePrefix="0" xfId="0">
      <alignment vertical="center" wrapText="1"/>
    </xf>
    <xf numFmtId="0" fontId="16" fillId="0" borderId="14" applyAlignment="1" pivotButton="0" quotePrefix="0" xfId="0">
      <alignment horizontal="center" vertical="center" wrapText="1"/>
    </xf>
    <xf numFmtId="0" fontId="16" fillId="0" borderId="15" applyAlignment="1" pivotButton="0" quotePrefix="0" xfId="0">
      <alignment horizontal="center" vertical="center" wrapText="1"/>
    </xf>
    <xf numFmtId="0" fontId="16" fillId="0" borderId="12" applyAlignment="1" pivotButton="0" quotePrefix="0" xfId="0">
      <alignment horizontal="center" vertical="center" wrapText="1"/>
    </xf>
    <xf numFmtId="0" fontId="0" fillId="0" borderId="1" pivotButton="0" quotePrefix="0" xfId="0"/>
    <xf numFmtId="0" fontId="16" fillId="0" borderId="9"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6" applyAlignment="1" pivotButton="0" quotePrefix="0" xfId="0">
      <alignment wrapText="1"/>
    </xf>
    <xf numFmtId="0" fontId="16" fillId="0" borderId="6" applyAlignment="1" pivotButton="0" quotePrefix="0" xfId="0">
      <alignment wrapText="1"/>
    </xf>
    <xf numFmtId="0" fontId="16" fillId="0" borderId="5" applyAlignment="1" pivotButton="0" quotePrefix="0" xfId="0">
      <alignment horizontal="center" vertical="center" wrapText="1"/>
    </xf>
    <xf numFmtId="0" fontId="16" fillId="0" borderId="16" applyAlignment="1" pivotButton="0" quotePrefix="0" xfId="0">
      <alignment vertical="center" wrapText="1"/>
    </xf>
    <xf numFmtId="0" fontId="17" fillId="0" borderId="16" applyAlignment="1" pivotButton="0" quotePrefix="0" xfId="0">
      <alignment wrapText="1"/>
    </xf>
    <xf numFmtId="0" fontId="16" fillId="0" borderId="16" applyAlignment="1" pivotButton="0" quotePrefix="0" xfId="0">
      <alignment horizontal="center" vertical="center" wrapText="1"/>
    </xf>
    <xf numFmtId="0" fontId="16" fillId="0" borderId="5" applyAlignment="1" pivotButton="0" quotePrefix="0" xfId="0">
      <alignment wrapText="1"/>
    </xf>
    <xf numFmtId="0" fontId="16" fillId="0" borderId="16" applyAlignment="1" pivotButton="0" quotePrefix="0" xfId="0">
      <alignment vertical="center"/>
    </xf>
    <xf numFmtId="0" fontId="0" fillId="0" borderId="6" pivotButton="0" quotePrefix="0" xfId="0"/>
    <xf numFmtId="0" fontId="0" fillId="0" borderId="2" pivotButton="0" quotePrefix="0" xfId="0"/>
    <xf numFmtId="0" fontId="17" fillId="0" borderId="4" applyAlignment="1" pivotButton="0" quotePrefix="0" xfId="0">
      <alignment wrapText="1"/>
    </xf>
    <xf numFmtId="0" fontId="16" fillId="0" borderId="16" applyAlignment="1" pivotButton="0" quotePrefix="0" xfId="0">
      <alignment horizontal="left" vertical="center" wrapText="1"/>
    </xf>
    <xf numFmtId="0" fontId="17" fillId="0" borderId="16" applyAlignment="1" pivotButton="0" quotePrefix="0" xfId="0">
      <alignment horizontal="left" vertical="center" wrapText="1"/>
    </xf>
    <xf numFmtId="0" fontId="16" fillId="0" borderId="16" applyAlignment="1" pivotButton="0" quotePrefix="0" xfId="0">
      <alignment horizontal="center" wrapText="1"/>
    </xf>
    <xf numFmtId="0" fontId="2" fillId="2" borderId="16" applyAlignment="1" pivotButton="0" quotePrefix="0" xfId="0">
      <alignment vertical="top" wrapText="1"/>
    </xf>
    <xf numFmtId="0" fontId="2" fillId="0" borderId="16" applyAlignment="1" pivotButton="0" quotePrefix="0" xfId="0">
      <alignment vertical="top" wrapText="1"/>
    </xf>
    <xf numFmtId="0" fontId="2" fillId="0" borderId="16" applyAlignment="1" pivotButton="0" quotePrefix="0" xfId="0">
      <alignment horizontal="center" vertical="top" wrapText="1"/>
    </xf>
    <xf numFmtId="2" fontId="2" fillId="0" borderId="16" applyAlignment="1" pivotButton="0" quotePrefix="0" xfId="0">
      <alignment vertical="top" wrapText="1"/>
    </xf>
    <xf numFmtId="9" fontId="2" fillId="0" borderId="16" applyAlignment="1" pivotButton="0" quotePrefix="0" xfId="0">
      <alignment horizontal="right" vertical="top" wrapText="1"/>
    </xf>
    <xf numFmtId="0" fontId="2" fillId="0" borderId="16" applyAlignment="1" pivotButton="0" quotePrefix="0" xfId="0">
      <alignment horizontal="right" vertical="top" wrapText="1"/>
    </xf>
    <xf numFmtId="0" fontId="2" fillId="0" borderId="0" applyAlignment="1" pivotButton="0" quotePrefix="0" xfId="0">
      <alignment vertical="top" wrapText="1"/>
    </xf>
    <xf numFmtId="0" fontId="0" fillId="0" borderId="0" applyAlignment="1" pivotButton="0" quotePrefix="0" xfId="0">
      <alignment wrapText="1"/>
    </xf>
    <xf numFmtId="0" fontId="16" fillId="0" borderId="16" applyAlignment="1" pivotButton="0" quotePrefix="0" xfId="0">
      <alignment horizontal="left" vertical="top" wrapText="1"/>
    </xf>
    <xf numFmtId="15" fontId="2" fillId="2" borderId="16" applyAlignment="1" pivotButton="0" quotePrefix="1" xfId="0">
      <alignment vertical="top"/>
    </xf>
    <xf numFmtId="0" fontId="18" fillId="0" borderId="16" applyAlignment="1" pivotButton="0" quotePrefix="0" xfId="0">
      <alignment wrapText="1"/>
    </xf>
    <xf numFmtId="10" fontId="16" fillId="0" borderId="16" pivotButton="0" quotePrefix="0" xfId="0"/>
    <xf numFmtId="10" fontId="16" fillId="0" borderId="6" pivotButton="0" quotePrefix="0" xfId="0"/>
    <xf numFmtId="0" fontId="19" fillId="10" borderId="17" applyAlignment="1" pivotButton="0" quotePrefix="0" xfId="0">
      <alignment wrapText="1"/>
    </xf>
    <xf numFmtId="0" fontId="19" fillId="10" borderId="19" applyAlignment="1" pivotButton="0" quotePrefix="0" xfId="0">
      <alignment wrapText="1"/>
    </xf>
    <xf numFmtId="0" fontId="19" fillId="10" borderId="20" applyAlignment="1" pivotButton="0" quotePrefix="0" xfId="0">
      <alignment wrapText="1"/>
    </xf>
    <xf numFmtId="0" fontId="19" fillId="10" borderId="18" applyAlignment="1" pivotButton="0" quotePrefix="0" xfId="0">
      <alignment vertical="top" wrapText="1"/>
    </xf>
    <xf numFmtId="0" fontId="19" fillId="10" borderId="20" applyAlignment="1" pivotButton="0" quotePrefix="0" xfId="0">
      <alignment vertical="top" wrapText="1"/>
    </xf>
    <xf numFmtId="0" fontId="19" fillId="10" borderId="19" applyAlignment="1" pivotButton="0" quotePrefix="0" xfId="0">
      <alignment vertical="top" wrapText="1"/>
    </xf>
    <xf numFmtId="20" fontId="2" fillId="2" borderId="16" applyAlignment="1" pivotButton="0" quotePrefix="0" xfId="0">
      <alignment vertical="top" wrapText="1"/>
    </xf>
    <xf numFmtId="0" fontId="19" fillId="2" borderId="16" applyAlignment="1" pivotButton="0" quotePrefix="0" xfId="0">
      <alignment vertical="top" wrapText="1"/>
    </xf>
    <xf numFmtId="0" fontId="22" fillId="2" borderId="16" applyAlignment="1" pivotButton="0" quotePrefix="0" xfId="0">
      <alignment vertical="top" wrapText="1"/>
    </xf>
    <xf numFmtId="0" fontId="16" fillId="0" borderId="16" applyAlignment="1" pivotButton="0" quotePrefix="0" xfId="0">
      <alignment vertical="top" wrapText="1"/>
    </xf>
    <xf numFmtId="0" fontId="17" fillId="0" borderId="16" applyAlignment="1" pivotButton="0" quotePrefix="0" xfId="0">
      <alignment vertical="center" wrapText="1"/>
    </xf>
    <xf numFmtId="9" fontId="16" fillId="0" borderId="16" applyAlignment="1" pivotButton="0" quotePrefix="0" xfId="0">
      <alignment horizontal="center" vertical="center" wrapText="1"/>
    </xf>
    <xf numFmtId="3" fontId="16" fillId="0" borderId="16" applyAlignment="1" pivotButton="0" quotePrefix="0" xfId="0">
      <alignment wrapText="1"/>
    </xf>
    <xf numFmtId="3" fontId="16" fillId="0" borderId="5" applyAlignment="1" pivotButton="0" quotePrefix="0" xfId="0">
      <alignment wrapText="1"/>
    </xf>
    <xf numFmtId="3" fontId="16" fillId="0" borderId="16" pivotButton="0" quotePrefix="0" xfId="0"/>
    <xf numFmtId="3" fontId="0" fillId="0" borderId="0" pivotButton="0" quotePrefix="0" xfId="0"/>
    <xf numFmtId="3" fontId="16" fillId="0" borderId="15" applyAlignment="1" pivotButton="0" quotePrefix="0" xfId="0">
      <alignment wrapText="1"/>
    </xf>
    <xf numFmtId="0" fontId="16" fillId="0" borderId="15" applyAlignment="1" pivotButton="0" quotePrefix="0" xfId="0">
      <alignment wrapText="1"/>
    </xf>
    <xf numFmtId="3" fontId="16" fillId="0" borderId="16" applyAlignment="1" pivotButton="0" quotePrefix="0" xfId="0">
      <alignment horizontal="right" wrapText="1"/>
    </xf>
    <xf numFmtId="0" fontId="14" fillId="2" borderId="16" applyAlignment="1" pivotButton="0" quotePrefix="0" xfId="0">
      <alignment vertical="top" wrapText="1"/>
    </xf>
    <xf numFmtId="10" fontId="16" fillId="0" borderId="16" applyAlignment="1" pivotButton="0" quotePrefix="0" xfId="0">
      <alignment horizontal="center" vertical="center" wrapText="1"/>
    </xf>
    <xf numFmtId="49" fontId="2" fillId="2" borderId="16" applyAlignment="1" pivotButton="0" quotePrefix="0" xfId="0">
      <alignment vertical="top"/>
    </xf>
    <xf numFmtId="9" fontId="16" fillId="0" borderId="16" applyAlignment="1" pivotButton="0" quotePrefix="0" xfId="0">
      <alignment horizontal="center" vertical="center"/>
    </xf>
    <xf numFmtId="1" fontId="16" fillId="0" borderId="16" applyAlignment="1" pivotButton="0" quotePrefix="0" xfId="0">
      <alignment vertical="center" wrapText="1"/>
    </xf>
    <xf numFmtId="10" fontId="16" fillId="0" borderId="2" pivotButton="0" quotePrefix="0" xfId="0"/>
    <xf numFmtId="10" fontId="16" fillId="0" borderId="6" applyAlignment="1" pivotButton="0" quotePrefix="0" xfId="0">
      <alignment wrapText="1"/>
    </xf>
    <xf numFmtId="0" fontId="2" fillId="0" borderId="6" applyAlignment="1" pivotButton="0" quotePrefix="0" xfId="0">
      <alignment horizontal="left" vertical="top" wrapText="1"/>
    </xf>
    <xf numFmtId="0" fontId="1" fillId="0" borderId="0" applyAlignment="1" pivotButton="0" quotePrefix="0" xfId="0">
      <alignment horizontal="center" vertical="top"/>
    </xf>
    <xf numFmtId="0" fontId="20" fillId="11" borderId="0" applyAlignment="1" pivotButton="0" quotePrefix="0" xfId="1">
      <alignment vertical="center" wrapText="1"/>
    </xf>
    <xf numFmtId="0" fontId="2" fillId="7" borderId="16" applyAlignment="1" pivotButton="0" quotePrefix="0" xfId="0">
      <alignment vertical="center"/>
    </xf>
    <xf numFmtId="0" fontId="2" fillId="0" borderId="16" applyAlignment="1" pivotButton="0" quotePrefix="0" xfId="0">
      <alignment vertical="center"/>
    </xf>
    <xf numFmtId="2" fontId="2" fillId="0" borderId="8" applyAlignment="1" pivotButton="0" quotePrefix="0" xfId="0">
      <alignment horizontal="right" vertical="top"/>
    </xf>
    <xf numFmtId="0" fontId="2" fillId="0" borderId="5" applyAlignment="1" pivotButton="0" quotePrefix="0" xfId="0">
      <alignment vertical="top"/>
    </xf>
    <xf numFmtId="0" fontId="2" fillId="7" borderId="15" applyAlignment="1" pivotButton="0" quotePrefix="0" xfId="0">
      <alignment vertical="top"/>
    </xf>
    <xf numFmtId="0" fontId="20" fillId="11" borderId="16" applyAlignment="1" pivotButton="0" quotePrefix="0" xfId="1">
      <alignment vertical="center" wrapText="1"/>
    </xf>
    <xf numFmtId="15" fontId="2" fillId="2" borderId="6" applyAlignment="1" pivotButton="0" quotePrefix="1" xfId="0">
      <alignment vertical="top"/>
    </xf>
    <xf numFmtId="49" fontId="2" fillId="2" borderId="6" applyAlignment="1" pivotButton="0" quotePrefix="0" xfId="0">
      <alignment vertical="top"/>
    </xf>
    <xf numFmtId="0" fontId="2" fillId="0" borderId="5" applyAlignment="1" pivotButton="0" quotePrefix="0" xfId="0">
      <alignment vertical="center"/>
    </xf>
    <xf numFmtId="0" fontId="2" fillId="0" borderId="15" applyAlignment="1" pivotButton="0" quotePrefix="0" xfId="0">
      <alignment vertical="top"/>
    </xf>
    <xf numFmtId="0" fontId="2" fillId="7" borderId="15" applyAlignment="1" pivotButton="0" quotePrefix="0" xfId="0">
      <alignment vertical="center"/>
    </xf>
    <xf numFmtId="0" fontId="2" fillId="2" borderId="6" applyAlignment="1" pivotButton="0" quotePrefix="1" xfId="0">
      <alignment vertical="top"/>
    </xf>
    <xf numFmtId="2" fontId="2" fillId="0" borderId="8" applyAlignment="1" pivotButton="0" quotePrefix="0" xfId="0">
      <alignment horizontal="right" vertical="top" wrapText="1"/>
    </xf>
    <xf numFmtId="0" fontId="4" fillId="5" borderId="6" applyAlignment="1" pivotButton="0" quotePrefix="0" xfId="0">
      <alignment horizontal="center" vertical="center" wrapText="1"/>
    </xf>
    <xf numFmtId="0" fontId="4" fillId="5" borderId="7" applyAlignment="1" pivotButton="0" quotePrefix="0" xfId="0">
      <alignment horizontal="center" vertical="center" wrapText="1"/>
    </xf>
    <xf numFmtId="0" fontId="4" fillId="5" borderId="8" applyAlignment="1" pivotButton="0" quotePrefix="0" xfId="0">
      <alignment horizontal="center" vertical="center" wrapText="1"/>
    </xf>
    <xf numFmtId="0" fontId="4" fillId="5" borderId="5" applyAlignment="1" pivotButton="0" quotePrefix="0" xfId="0">
      <alignment horizontal="center" vertical="center" wrapText="1"/>
    </xf>
    <xf numFmtId="0" fontId="4" fillId="5" borderId="15" applyAlignment="1" pivotButton="0" quotePrefix="0" xfId="0">
      <alignment horizontal="center" vertical="center" wrapText="1"/>
    </xf>
    <xf numFmtId="0" fontId="2" fillId="0" borderId="6" applyAlignment="1" pivotButton="0" quotePrefix="0" xfId="0">
      <alignment horizontal="left" vertical="top" wrapText="1"/>
    </xf>
    <xf numFmtId="0" fontId="2" fillId="0" borderId="7" applyAlignment="1" pivotButton="0" quotePrefix="0" xfId="0">
      <alignment horizontal="left" vertical="top" wrapText="1"/>
    </xf>
    <xf numFmtId="0" fontId="2" fillId="0" borderId="8" applyAlignment="1" pivotButton="0" quotePrefix="0" xfId="0">
      <alignment horizontal="left" vertical="top" wrapText="1"/>
    </xf>
    <xf numFmtId="0" fontId="2" fillId="0" borderId="6" applyAlignment="1" pivotButton="0" quotePrefix="0" xfId="0">
      <alignment horizontal="left" wrapText="1"/>
    </xf>
    <xf numFmtId="0" fontId="2" fillId="0" borderId="7" applyAlignment="1" pivotButton="0" quotePrefix="0" xfId="0">
      <alignment horizontal="left" wrapText="1"/>
    </xf>
    <xf numFmtId="0" fontId="2" fillId="0" borderId="8" applyAlignment="1" pivotButton="0" quotePrefix="0" xfId="0">
      <alignment horizontal="left" wrapText="1"/>
    </xf>
    <xf numFmtId="0" fontId="14" fillId="0" borderId="6" applyAlignment="1" pivotButton="0" quotePrefix="0" xfId="0">
      <alignment horizontal="left" vertical="top" wrapText="1"/>
    </xf>
    <xf numFmtId="0" fontId="14" fillId="0" borderId="7" applyAlignment="1" pivotButton="0" quotePrefix="0" xfId="0">
      <alignment horizontal="left" vertical="top" wrapText="1"/>
    </xf>
    <xf numFmtId="0" fontId="14" fillId="0" borderId="8" applyAlignment="1" pivotButton="0" quotePrefix="0" xfId="0">
      <alignment horizontal="left" vertical="top" wrapText="1"/>
    </xf>
    <xf numFmtId="0" fontId="2" fillId="0" borderId="6" applyAlignment="1" pivotButton="0" quotePrefix="0" xfId="0">
      <alignment vertical="top" wrapText="1"/>
    </xf>
    <xf numFmtId="0" fontId="2" fillId="0" borderId="7" applyAlignment="1" pivotButton="0" quotePrefix="0" xfId="0">
      <alignment vertical="top" wrapText="1"/>
    </xf>
    <xf numFmtId="0" fontId="2" fillId="0" borderId="8" applyAlignment="1" pivotButton="0" quotePrefix="0" xfId="0">
      <alignment vertical="top" wrapText="1"/>
    </xf>
    <xf numFmtId="0" fontId="8" fillId="0" borderId="6" applyAlignment="1" pivotButton="0" quotePrefix="0" xfId="0">
      <alignment horizontal="right" vertical="top"/>
    </xf>
    <xf numFmtId="0" fontId="8" fillId="0" borderId="8" applyAlignment="1" pivotButton="0" quotePrefix="0" xfId="0">
      <alignment horizontal="right" vertical="top"/>
    </xf>
    <xf numFmtId="0" fontId="4" fillId="8" borderId="6" applyAlignment="1" pivotButton="0" quotePrefix="0" xfId="0">
      <alignment horizontal="left" vertical="top"/>
    </xf>
    <xf numFmtId="0" fontId="4" fillId="8" borderId="7" applyAlignment="1" pivotButton="0" quotePrefix="0" xfId="0">
      <alignment horizontal="left" vertical="top"/>
    </xf>
    <xf numFmtId="0" fontId="4" fillId="8" borderId="8" applyAlignment="1" pivotButton="0" quotePrefix="0" xfId="0">
      <alignment horizontal="left" vertical="top"/>
    </xf>
    <xf numFmtId="0" fontId="4" fillId="6" borderId="6" applyAlignment="1" pivotButton="0" quotePrefix="0" xfId="0">
      <alignment horizontal="center" vertical="center" wrapText="1"/>
    </xf>
    <xf numFmtId="0" fontId="4" fillId="6" borderId="7" applyAlignment="1" pivotButton="0" quotePrefix="0" xfId="0">
      <alignment horizontal="center" vertical="center" wrapText="1"/>
    </xf>
    <xf numFmtId="0" fontId="4" fillId="6" borderId="8"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8" applyAlignment="1" pivotButton="0" quotePrefix="0" xfId="0">
      <alignment horizontal="center" vertical="center" wrapText="1"/>
    </xf>
    <xf numFmtId="0" fontId="1" fillId="0" borderId="0" applyAlignment="1" pivotButton="0" quotePrefix="0" xfId="0">
      <alignment horizontal="center" vertical="top"/>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4" fillId="3" borderId="4" applyAlignment="1" pivotButton="0" quotePrefix="0" xfId="0">
      <alignment horizontal="center" vertical="center" wrapText="1"/>
    </xf>
    <xf numFmtId="0" fontId="4" fillId="3" borderId="9"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0" applyAlignment="1" pivotButton="0" quotePrefix="0" xfId="0">
      <alignment horizontal="center"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4" fillId="3" borderId="14" applyAlignment="1" pivotButton="0" quotePrefix="0" xfId="0">
      <alignment horizontal="center" vertical="center" wrapText="1"/>
    </xf>
    <xf numFmtId="0" fontId="4" fillId="3" borderId="5" applyAlignment="1" pivotButton="0" quotePrefix="0" xfId="0">
      <alignment horizontal="center" vertical="center" wrapText="1"/>
    </xf>
    <xf numFmtId="0" fontId="4" fillId="3" borderId="11" applyAlignment="1" pivotButton="0" quotePrefix="0" xfId="0">
      <alignment horizontal="center" vertical="center" wrapText="1"/>
    </xf>
    <xf numFmtId="0" fontId="4" fillId="3" borderId="15" applyAlignment="1" pivotButton="0" quotePrefix="0" xfId="0">
      <alignment horizontal="center" vertical="center" wrapText="1"/>
    </xf>
    <xf numFmtId="0" fontId="4" fillId="6" borderId="5" applyAlignment="1" pivotButton="0" quotePrefix="0" xfId="0">
      <alignment horizontal="center" vertical="center" wrapText="1"/>
    </xf>
    <xf numFmtId="0" fontId="4" fillId="6" borderId="15" applyAlignment="1" pivotButton="0" quotePrefix="0" xfId="0">
      <alignment horizontal="center" vertical="center" wrapText="1"/>
    </xf>
    <xf numFmtId="0" fontId="2" fillId="0" borderId="6" applyAlignment="1" pivotButton="0" quotePrefix="0" xfId="0">
      <alignment horizontal="left" vertical="top"/>
    </xf>
    <xf numFmtId="0" fontId="2" fillId="0" borderId="7" applyAlignment="1" pivotButton="0" quotePrefix="0" xfId="0">
      <alignment horizontal="left" vertical="top"/>
    </xf>
    <xf numFmtId="0" fontId="2" fillId="0" borderId="8" applyAlignment="1" pivotButton="0" quotePrefix="0" xfId="0">
      <alignment horizontal="left" vertical="top"/>
    </xf>
    <xf numFmtId="0" fontId="9" fillId="3" borderId="5" applyAlignment="1" pivotButton="0" quotePrefix="0" xfId="0">
      <alignment horizontal="center" vertical="center"/>
    </xf>
    <xf numFmtId="0" fontId="5" fillId="0" borderId="15" pivotButton="0" quotePrefix="0" xfId="0"/>
    <xf numFmtId="0" fontId="9" fillId="3" borderId="5" applyAlignment="1" pivotButton="0" quotePrefix="0" xfId="0">
      <alignment horizontal="center" vertical="center" wrapText="1"/>
    </xf>
    <xf numFmtId="0" fontId="4" fillId="3" borderId="2" applyAlignment="1" pivotButton="0" quotePrefix="0" xfId="0">
      <alignment horizontal="center" vertical="center"/>
    </xf>
    <xf numFmtId="0" fontId="5" fillId="0" borderId="3" pivotButton="0" quotePrefix="0" xfId="0"/>
    <xf numFmtId="0" fontId="5" fillId="0" borderId="4" pivotButton="0" quotePrefix="0" xfId="0"/>
    <xf numFmtId="0" fontId="5" fillId="0" borderId="9" pivotButton="0" quotePrefix="0" xfId="0"/>
    <xf numFmtId="0" fontId="0" fillId="0" borderId="0" pivotButton="0" quotePrefix="0" xfId="0"/>
    <xf numFmtId="0" fontId="5" fillId="0" borderId="10" pivotButton="0" quotePrefix="0" xfId="0"/>
    <xf numFmtId="0" fontId="5" fillId="0" borderId="12" pivotButton="0" quotePrefix="0" xfId="0"/>
    <xf numFmtId="0" fontId="5" fillId="0" borderId="13" pivotButton="0" quotePrefix="0" xfId="0"/>
    <xf numFmtId="0" fontId="5" fillId="0" borderId="14" pivotButton="0" quotePrefix="0" xfId="0"/>
    <xf numFmtId="0" fontId="5" fillId="0" borderId="11" pivotButton="0" quotePrefix="0" xfId="0"/>
    <xf numFmtId="0" fontId="9" fillId="3" borderId="2" applyAlignment="1" pivotButton="0" quotePrefix="0" xfId="0">
      <alignment horizontal="center" vertical="center"/>
    </xf>
    <xf numFmtId="0" fontId="9" fillId="3" borderId="6" applyAlignment="1" pivotButton="0" quotePrefix="0" xfId="0">
      <alignment horizontal="center" vertical="center"/>
    </xf>
    <xf numFmtId="0" fontId="5" fillId="0" borderId="7" pivotButton="0" quotePrefix="0" xfId="0"/>
    <xf numFmtId="0" fontId="5" fillId="0" borderId="8" pivotButton="0" quotePrefix="0" xfId="0"/>
    <xf numFmtId="0" fontId="9" fillId="3" borderId="6" applyAlignment="1" pivotButton="0" quotePrefix="0" xfId="0">
      <alignment horizontal="center"/>
    </xf>
    <xf numFmtId="0" fontId="12" fillId="9" borderId="5" applyAlignment="1" pivotButton="0" quotePrefix="0" xfId="0">
      <alignment horizontal="center" vertical="center" textRotation="90"/>
    </xf>
    <xf numFmtId="0" fontId="1" fillId="0" borderId="1" applyAlignment="1" pivotButton="0" quotePrefix="0" xfId="0">
      <alignment horizontal="center" vertical="top"/>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4" fillId="5" borderId="16" applyAlignment="1" pivotButton="0" quotePrefix="0" xfId="0">
      <alignment horizontal="center" vertical="center" wrapText="1"/>
    </xf>
    <xf numFmtId="0" fontId="4" fillId="6" borderId="16"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2" fillId="0" borderId="16" applyAlignment="1" pivotButton="0" quotePrefix="0" xfId="0">
      <alignment horizontal="left" vertical="top" wrapText="1"/>
    </xf>
    <xf numFmtId="0" fontId="14" fillId="0" borderId="16" applyAlignment="1" pivotButton="0" quotePrefix="0" xfId="0">
      <alignment horizontal="left" vertical="top" wrapText="1"/>
    </xf>
    <xf numFmtId="0" fontId="2" fillId="0" borderId="16" applyAlignment="1" pivotButton="0" quotePrefix="0" xfId="0">
      <alignment horizontal="left" vertical="top"/>
    </xf>
    <xf numFmtId="0" fontId="2" fillId="0" borderId="16" applyAlignment="1" pivotButton="0" quotePrefix="0" xfId="0">
      <alignment horizontal="left" wrapText="1"/>
    </xf>
    <xf numFmtId="0" fontId="4" fillId="8" borderId="16" applyAlignment="1" pivotButton="0" quotePrefix="0" xfId="0">
      <alignment horizontal="left" vertical="top"/>
    </xf>
    <xf numFmtId="0" fontId="4" fillId="3" borderId="16" applyAlignment="1" pivotButton="0" quotePrefix="0" xfId="0">
      <alignment horizontal="center" vertical="center"/>
    </xf>
    <xf numFmtId="0" fontId="9" fillId="3" borderId="16" applyAlignment="1" pivotButton="0" quotePrefix="0" xfId="0">
      <alignment horizontal="center" vertical="center"/>
    </xf>
    <xf numFmtId="0" fontId="9" fillId="3" borderId="16" applyAlignment="1" pivotButton="0" quotePrefix="0" xfId="0">
      <alignment horizontal="center" vertical="center" wrapText="1"/>
    </xf>
    <xf numFmtId="0" fontId="12" fillId="9" borderId="16" applyAlignment="1" pivotButton="0" quotePrefix="0" xfId="0">
      <alignment horizontal="center" vertical="center" textRotation="90"/>
    </xf>
  </cellXfs>
  <cellStyles count="2">
    <cellStyle name="Normal" xfId="0" builtinId="0"/>
    <cellStyle name="Hyperlink" xfId="1"/>
  </cellStyles>
  <dxfs count="27">
    <dxf>
      <font>
        <name val="Arial"/>
        <charset val="1"/>
        <family val="2"/>
        <strike val="0"/>
        <outline val="0"/>
        <shadow val="0"/>
        <condense val="0"/>
        <color rgb="FF000000"/>
        <extend val="0"/>
        <sz val="11"/>
        <vertAlign val="baseline"/>
      </font>
      <border>
        <left style="thin">
          <color rgb="FF000000"/>
        </left>
        <right/>
        <top style="thin">
          <color rgb="FF000000"/>
        </top>
        <bottom style="thin">
          <color rgb="FF000000"/>
        </bottom>
        <vertical/>
        <horizontal/>
      </border>
    </dxf>
    <dxf>
      <font>
        <name val="Arial"/>
        <charset val="1"/>
        <family val="2"/>
        <strike val="0"/>
        <outline val="0"/>
        <shadow val="0"/>
        <condense val="0"/>
        <color rgb="FF000000"/>
        <extend val="0"/>
        <sz val="11"/>
        <vertAlign val="baseline"/>
      </font>
      <border>
        <left style="thin">
          <color rgb="FF00000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name val="Arial"/>
        <charset val="1"/>
        <family val="2"/>
        <strike val="0"/>
        <outline val="0"/>
        <shadow val="0"/>
        <condense val="0"/>
        <color rgb="FF000000"/>
        <extend val="0"/>
        <sz val="11"/>
        <vertAlign val="baseline"/>
      </font>
      <alignment vertical="center" wrapText="1"/>
      <border>
        <left style="thin">
          <color rgb="FF000000"/>
        </left>
        <right style="thin">
          <color rgb="FF000000"/>
        </right>
        <top/>
        <bottom/>
      </border>
    </dxf>
    <dxf>
      <font>
        <name val="Arial"/>
        <charset val="1"/>
        <family val="2"/>
        <strike val="0"/>
        <outline val="0"/>
        <shadow val="0"/>
        <condense val="0"/>
        <color rgb="FF000000"/>
        <extend val="0"/>
        <sz val="11"/>
        <vertAlign val="baseline"/>
      </font>
      <border>
        <left style="thin">
          <color rgb="FF000000"/>
        </left>
        <right/>
        <top style="thin">
          <color rgb="FF000000"/>
        </top>
        <bottom style="thin">
          <color rgb="FF000000"/>
        </bottom>
        <vertical/>
        <horizontal/>
      </border>
    </dxf>
    <dxf>
      <font>
        <name val="Arial"/>
        <charset val="1"/>
        <family val="2"/>
        <strike val="0"/>
        <outline val="0"/>
        <shadow val="0"/>
        <condense val="0"/>
        <color rgb="FF000000"/>
        <extend val="0"/>
        <sz val="11"/>
        <vertAlign val="baseline"/>
      </font>
      <border>
        <left style="thin">
          <color rgb="FF000000"/>
        </left>
        <right style="thin">
          <color rgb="FF000000"/>
        </right>
        <top style="thin">
          <color rgb="FF000000"/>
        </top>
        <bottom style="thin">
          <color rgb="FF000000"/>
        </bottom>
        <vertical/>
        <horizontal/>
      </border>
    </dxf>
    <dxf>
      <font>
        <name val="Arial"/>
        <charset val="1"/>
        <family val="2"/>
        <strike val="0"/>
        <outline val="0"/>
        <shadow val="0"/>
        <condense val="0"/>
        <color rgb="FF000000"/>
        <extend val="0"/>
        <sz val="11"/>
        <vertAlign val="baseline"/>
      </font>
      <alignment horizontal="general" vertical="bottom" wrapText="1"/>
      <border>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ont>
        <name val="Arial"/>
        <charset val="1"/>
        <family val="2"/>
        <strike val="0"/>
        <outline val="0"/>
        <shadow val="0"/>
        <condense val="0"/>
        <color rgb="FF000000"/>
        <extend val="0"/>
        <sz val="11"/>
        <vertAlign val="baseline"/>
      </font>
      <alignment vertical="center" wrapText="1"/>
      <border>
        <left style="thin">
          <color rgb="FF000000"/>
        </left>
        <right style="thin">
          <color rgb="FF000000"/>
        </right>
        <top/>
        <bottom/>
      </border>
    </dxf>
    <dxf>
      <font>
        <name val="Arial"/>
        <charset val="1"/>
        <family val="2"/>
        <strike val="0"/>
        <outline val="0"/>
        <shadow val="0"/>
        <condense val="0"/>
        <color rgb="FF000000"/>
        <extend val="0"/>
        <sz val="11"/>
        <vertAlign val="baseline"/>
      </font>
      <border>
        <left style="thin">
          <color rgb="FF000000"/>
        </left>
        <right/>
        <top style="thin">
          <color rgb="FF000000"/>
        </top>
        <bottom style="thin">
          <color rgb="FF000000"/>
        </bottom>
        <vertical/>
        <horizontal/>
      </border>
    </dxf>
    <dxf>
      <font>
        <name val="Arial"/>
        <charset val="1"/>
        <family val="2"/>
        <strike val="0"/>
        <outline val="0"/>
        <shadow val="0"/>
        <condense val="0"/>
        <color rgb="FF000000"/>
        <extend val="0"/>
        <sz val="11"/>
        <vertAlign val="baseline"/>
      </font>
      <border>
        <left style="thin">
          <color rgb="FF000000"/>
        </left>
        <right style="thin">
          <color rgb="FF000000"/>
        </right>
        <top style="thin">
          <color rgb="FF000000"/>
        </top>
        <bottom style="thin">
          <color rgb="FF000000"/>
        </bottom>
        <vertical/>
        <horizontal/>
      </border>
    </dxf>
    <dxf>
      <font>
        <name val="Arial"/>
        <charset val="1"/>
        <family val="2"/>
        <strike val="0"/>
        <outline val="0"/>
        <shadow val="0"/>
        <condense val="0"/>
        <color rgb="FF000000"/>
        <extend val="0"/>
        <sz val="11"/>
        <vertAlign val="baseline"/>
      </font>
      <alignment wrapText="1"/>
      <border>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name val="Arial"/>
        <charset val="1"/>
        <family val="2"/>
        <strike val="0"/>
        <outline val="0"/>
        <shadow val="0"/>
        <condense val="0"/>
        <color rgb="FF000000"/>
        <extend val="0"/>
        <sz val="11"/>
        <vertAlign val="baseline"/>
      </font>
      <border outline="0">
        <left style="thin">
          <color rgb="FF000000"/>
        </left>
        <right style="thin">
          <color rgb="FF000000"/>
        </right>
        <top/>
        <bottom/>
      </border>
    </dxf>
    <dxf>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charset val="1"/>
        <family val="2"/>
        <strike val="0"/>
        <outline val="0"/>
        <shadow val="0"/>
        <condense val="0"/>
        <color rgb="FF000000"/>
        <extend val="0"/>
        <sz val="11"/>
        <vertAlign val="baseline"/>
      </font>
      <alignment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charset val="1"/>
        <family val="2"/>
        <strike val="0"/>
        <outline val="0"/>
        <shadow val="0"/>
        <condense val="0"/>
        <color rgb="FF000000"/>
        <extend val="0"/>
        <sz val="11"/>
        <vertAlign val="baseline"/>
      </font>
      <alignment wrapText="1"/>
      <border>
        <left style="thin">
          <color rgb="FF000000"/>
        </left>
        <right style="thin">
          <color rgb="FF000000"/>
        </right>
        <top style="thin">
          <color rgb="FF000000"/>
        </top>
        <bottom style="thin">
          <color rgb="FF000000"/>
        </bottom>
        <vertical/>
        <horizontal/>
      </border>
    </dxf>
    <dxf>
      <alignment vertical="center" wrapText="1"/>
    </dxf>
    <dxf>
      <border outline="0">
        <top style="thin">
          <color rgb="FF000000"/>
        </top>
      </border>
    </dxf>
    <dxf>
      <border outline="0">
        <left style="thin">
          <color rgb="FF000000"/>
        </left>
        <right style="thin">
          <color rgb="FF000000"/>
        </right>
        <top style="thin">
          <color rgb="FF000000"/>
        </top>
        <bottom style="thin">
          <color rgb="FF000000"/>
        </bottom>
      </border>
    </dxf>
    <dxf>
      <alignment wrapText="1"/>
    </dxf>
    <dxf>
      <border outline="0">
        <bottom style="thin">
          <color rgb="FF000000"/>
        </bottom>
      </border>
    </dxf>
    <dxf>
      <font>
        <name val="Arial"/>
        <charset val="1"/>
        <family val="2"/>
        <strike val="0"/>
        <outline val="0"/>
        <shadow val="0"/>
        <condense val="0"/>
        <color rgb="FF000000"/>
        <extend val="0"/>
        <sz val="11"/>
        <vertAlign val="baseline"/>
      </font>
      <alignment horizontal="center" vertical="center" wrapText="1"/>
      <border>
        <left style="thin">
          <color rgb="FF000000"/>
        </left>
        <right style="thin">
          <color rgb="FF000000"/>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Table1" displayName="Table1" ref="A1:D4" headerRowCount="1" totalsRowShown="0" headerRowDxfId="26" dataDxfId="24" headerRowBorderDxfId="25" tableBorderDxfId="23" totalsRowBorderDxfId="22">
  <autoFilter ref="A1:D4"/>
  <tableColumns count="4">
    <tableColumn id="1" name="Rincian Output" dataDxfId="21"/>
    <tableColumn id="2" name="Realisasi Volume RO" dataDxfId="20"/>
    <tableColumn id="3" name="Progres Pelaksanaan Kegiatan (Persen)" dataDxfId="19"/>
    <tableColumn id="4" name="Realisasi yang telah dilaksanakan (Berikan Narasi)" dataDxfId="18"/>
  </tableColumns>
  <tableStyleInfo showFirstColumn="0" showLastColumn="0" showRowStripes="1" showColumnStripes="0"/>
</table>
</file>

<file path=xl/tables/table2.xml><?xml version="1.0" encoding="utf-8"?>
<table xmlns="http://schemas.openxmlformats.org/spreadsheetml/2006/main" id="2" name="Table2" displayName="Table2" ref="A1:D4" headerRowCount="1" totalsRowShown="0" headerRowDxfId="17" headerRowBorderDxfId="16" tableBorderDxfId="15" totalsRowBorderDxfId="14">
  <autoFilter ref="A1:D4"/>
  <tableColumns count="4">
    <tableColumn id="1" name="Rincian Output" dataDxfId="13"/>
    <tableColumn id="2" name="Realisasi Volume RO" dataDxfId="12"/>
    <tableColumn id="3" name="Progres Pelaksanaan Kegiatan (Persen)" dataDxfId="11"/>
    <tableColumn id="4" name="Realisasi yang telah dilaksanakan (Berikan Narasi)"/>
  </tableColumns>
  <tableStyleInfo showFirstColumn="0" showLastColumn="0" showRowStripes="1" showColumnStripes="0"/>
</table>
</file>

<file path=xl/tables/table3.xml><?xml version="1.0" encoding="utf-8"?>
<table xmlns="http://schemas.openxmlformats.org/spreadsheetml/2006/main" id="3" name="Table3" displayName="Table3" ref="A1:D4" headerRowCount="1" totalsRowShown="0" headerRowDxfId="10" tableBorderDxfId="9">
  <autoFilter ref="A1:D4"/>
  <tableColumns count="4">
    <tableColumn id="1" name="Rincian Output" dataDxfId="8"/>
    <tableColumn id="2" name="Realisasi Volume RO" dataDxfId="7"/>
    <tableColumn id="3" name="Progres Pelaksanaan Kegiatan (Persen)" dataDxfId="6"/>
    <tableColumn id="5" name="Realisasi yang telah dilaksanakan (Berikan Narasi)"/>
  </tableColumns>
  <tableStyleInfo showFirstColumn="0" showLastColumn="0" showRowStripes="1" showColumnStripes="0"/>
</table>
</file>

<file path=xl/tables/table4.xml><?xml version="1.0" encoding="utf-8"?>
<table xmlns="http://schemas.openxmlformats.org/spreadsheetml/2006/main" id="4" name="Table4" displayName="Table4" ref="A1:D4" headerRowCount="1" totalsRowShown="0" headerRowDxfId="5" headerRowBorderDxfId="4" tableBorderDxfId="3" totalsRowBorderDxfId="2">
  <autoFilter ref="A1:D4"/>
  <tableColumns count="4">
    <tableColumn id="1" name="Rincian Output"/>
    <tableColumn id="2" name="Realisasi Volume RO" dataDxfId="1"/>
    <tableColumn id="3" name="Progres Pelaksanaan Kegiatan (Persen)" dataDxfId="0"/>
    <tableColumn id="4" name="Realisasi yang telah dilaksanakan (Berikan Narasi)"/>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drv.ms/f/c/567D0687B8DEB630/IgBFdr8Qa5qkTYv0XyMzYm7GAegAZlBsKSfJXAzENB0nvMA?e=SJS8QQ" TargetMode="External" Id="rId1"/><Relationship Type="http://schemas.openxmlformats.org/officeDocument/2006/relationships/hyperlink" Target="https://1drv.ms/f/c/567D0687B8DEB630/IgBvOeb3XU_jRLkgwxWeI-DRAaJrzftbjqM-hYLtr2TA5vs?e=86nrAf" TargetMode="External" Id="rId2"/><Relationship Type="http://schemas.openxmlformats.org/officeDocument/2006/relationships/hyperlink" Target="https://1drv.ms/f/c/567D0687B8DEB630/IgA1cZxTzk76QZ7QaidSluacASFQLqY2WUXOtB8pnlNznkE?e=nTKRfJ" TargetMode="External" Id="rId3"/><Relationship Type="http://schemas.openxmlformats.org/officeDocument/2006/relationships/hyperlink" Target="https://1drv.ms/f/c/567D0687B8DEB630/IgBsda2DcQmYQom-Qynjd1zXAbIR_Noi7lRBP32sS3RpT2I?e=EbFS2M" TargetMode="External" Id="rId4"/><Relationship Type="http://schemas.openxmlformats.org/officeDocument/2006/relationships/hyperlink" Target="https://1drv.ms/f/c/567D0687B8DEB630/IgA9lnaR1e37QKukqvi21m_FAQq0f7L_PxusgpGiSeH-lGY?e=M4BI5b" TargetMode="External" Id="rId5"/><Relationship Type="http://schemas.openxmlformats.org/officeDocument/2006/relationships/hyperlink" Target="https://1drv.ms/f/c/567D0687B8DEB630/IgD5axLjqeMxQaTgT74BIbtxAdOwjoTHJ9Pt_DSGYshP-Ig?e=LOMANG" TargetMode="External" Id="rId6"/><Relationship Type="http://schemas.openxmlformats.org/officeDocument/2006/relationships/hyperlink" Target="https://1drv.ms/f/c/567D0687B8DEB630/IgDpiCP78jX3SpiI4l22XT9LAbS1bu0blJayQlCRRFyzIEI?e=6CZuBE" TargetMode="External" Id="rId7"/><Relationship Type="http://schemas.openxmlformats.org/officeDocument/2006/relationships/hyperlink" Target="https://1drv.ms/f/c/567D0687B8DEB630/IgDojRnIONq_TI0ux3kG1M9hAbV-mcmMDNBDobO7t4v-Ly0?e=7GphjP" TargetMode="External" Id="rId8"/><Relationship Type="http://schemas.openxmlformats.org/officeDocument/2006/relationships/hyperlink" Target="https://1drv.ms/f/c/567D0687B8DEB630/IgBFLMRHqckYQ6kvkSFgwKwaAW1QZrC6PdKg5XDA8YmTaaQ?e=w3Ds5E" TargetMode="External" Id="rId9"/><Relationship Type="http://schemas.openxmlformats.org/officeDocument/2006/relationships/hyperlink" Target="https://1drv.ms/f/c/567D0687B8DEB630/IgBbonLKQRdlRrDHrydBZWlRATb43CvKFd-KVIgRjI4V7-M?e=6ajY55" TargetMode="External" Id="rId10"/><Relationship Type="http://schemas.openxmlformats.org/officeDocument/2006/relationships/hyperlink" Target="https://1drv.ms/f/c/567D0687B8DEB630/IgAA8hxYer26R66HeLDZEvgqAScBoBPRYrxfYEODzEtoT7I?e=6T3kUs" TargetMode="External" Id="rId11"/><Relationship Type="http://schemas.openxmlformats.org/officeDocument/2006/relationships/hyperlink" Target="https://1drv.ms/f/c/567D0687B8DEB630/IgDiKVftfWpjTrMDCyK8wFVwAX9muL3i8tzipYZub8h26-I?e=hhMy40" TargetMode="External" Id="rId12"/><Relationship Type="http://schemas.openxmlformats.org/officeDocument/2006/relationships/hyperlink" Target="https://1drv.ms/f/c/567D0687B8DEB630/IgB8DiaUpr3NR6Lnj93x6hO5AVpAUX2Gw6GreZ433-ptrsQ?e=72TePj" TargetMode="External" Id="rId13"/><Relationship Type="http://schemas.openxmlformats.org/officeDocument/2006/relationships/hyperlink" Target="https://1drv.ms/f/c/567D0687B8DEB630/IgAolNqnFBlURqXK4ntkWgQEAVASha27fNjvsCqHeKML4oM?e=fPEMyU" TargetMode="External" Id="rId14"/><Relationship Type="http://schemas.openxmlformats.org/officeDocument/2006/relationships/hyperlink" Target="https://1drv.ms/f/c/567D0687B8DEB630/IgDvyMll1dt-SrebjBTcVInbAS3C867oxyhbtLzxxUzhexk?e=uRfycO" TargetMode="External" Id="rId15"/><Relationship Type="http://schemas.openxmlformats.org/officeDocument/2006/relationships/hyperlink" Target="https://1drv.ms/f/c/567D0687B8DEB630/IgC-1NuzK-2lT7T4JO5OXy-7ASExJWw9fOWA21h-d8UJnG8?e=peGEyI" TargetMode="External" Id="rId16"/><Relationship Type="http://schemas.openxmlformats.org/officeDocument/2006/relationships/hyperlink" Target="https://1drv.ms/f/c/567D0687B8DEB630/IgBxZywuHFDBQLVqRS4Q-F3HAW_7UxUi1ozePuq6agrN4S0?e=nSXNJ2" TargetMode="External" Id="rId17"/><Relationship Type="http://schemas.openxmlformats.org/officeDocument/2006/relationships/hyperlink" Target="https://1drv.ms/f/c/567D0687B8DEB630/IgCm1l4mNPT6SqYNbwZYAKV0ATU7zx77obXA0Bn78blXpAk?e=IxX8Ht" TargetMode="External" Id="rId18"/><Relationship Type="http://schemas.openxmlformats.org/officeDocument/2006/relationships/hyperlink" Target="https://1drv.ms/f/c/567D0687B8DEB630/IgBLsgEy7qGTTavPFzDsDhUhAW0JQMnmZxuFMpaiUB9RQoA?e=FGhpyc" TargetMode="External" Id="rId19"/><Relationship Type="http://schemas.openxmlformats.org/officeDocument/2006/relationships/hyperlink" Target="https://1drv.ms/f/c/567D0687B8DEB630/IgDFEvEVVgqeRbavJgL-hzsNASv_cfQmn9QoWcmU12ZekCc?e=TCwzQK" TargetMode="External" Id="rId20"/><Relationship Type="http://schemas.openxmlformats.org/officeDocument/2006/relationships/hyperlink" Target="https://1drv.ms/f/c/567D0687B8DEB630/IgCj1MyRGfBPTqKOLY-CDhTgAUFbAyoKJ96u-Ei7oAHbvuk?e=OgJNDw" TargetMode="External" Id="rId21"/><Relationship Type="http://schemas.openxmlformats.org/officeDocument/2006/relationships/hyperlink" Target="https://1drv.ms/f/c/567D0687B8DEB630/IgBuh-Gk0UbfQKFj8gnlYXPGAe03b7eI2Xn6J77faJoPLjc?e=3l3bRu" TargetMode="External" Id="rId22"/><Relationship Type="http://schemas.openxmlformats.org/officeDocument/2006/relationships/hyperlink" Target="https://1drv.ms/f/c/567D0687B8DEB630/IgBMnf_liZ_fS6bIsj7x4hO5AV8zc3_84Z4nYgap6STg-IQ?e=rgKnjf" TargetMode="External" Id="rId23"/><Relationship Type="http://schemas.openxmlformats.org/officeDocument/2006/relationships/hyperlink" Target="https://1drv.ms/f/c/567D0687B8DEB630/IgAEubG6qO1MSKGvAWixTgkGAbsn_daQ_K-rEGZx324XbXQ?e=6QvIqb" TargetMode="External" Id="rId24"/><Relationship Type="http://schemas.openxmlformats.org/officeDocument/2006/relationships/hyperlink" Target="https://1drv.ms/f/c/567D0687B8DEB630/IgDnnvYj4IMqTbARBF18pMbRAaLDzw4e4zpazW8gBxa3zM0?e=QDs7kl" TargetMode="External" Id="rId25"/><Relationship Type="http://schemas.openxmlformats.org/officeDocument/2006/relationships/hyperlink" Target="https://1drv.ms/f/c/567D0687B8DEB630/IgDFat19C4qoSogxR6wlK66iAUwYTSrfl7b_136ifjC2x3k?e=P2DjI1" TargetMode="External" Id="rId26"/><Relationship Type="http://schemas.openxmlformats.org/officeDocument/2006/relationships/hyperlink" Target="https://1drv.ms/f/c/567D0687B8DEB630/IgDHFm6lZP7iQ657fV5VwtfUAX08jOzrWxZ5vldaLD_75nI?e=Agy5CA" TargetMode="External" Id="rId27"/><Relationship Type="http://schemas.openxmlformats.org/officeDocument/2006/relationships/hyperlink" Target="https://1drv.ms/f/c/567D0687B8DEB630/IgDbIKNPNlI0SrwdyhuKk-YpAehRSSw30G3OBuqNHz_AEIE?e=zFawaF" TargetMode="External" Id="rId28"/><Relationship Type="http://schemas.openxmlformats.org/officeDocument/2006/relationships/hyperlink" Target="https://1drv.ms/f/c/567D0687B8DEB630/IgCY3Y8irMfUR4Qat2t6a1cBAa0KBv604AHgabWPR4kdCKE?e=Uxa719" TargetMode="External" Id="rId29"/><Relationship Type="http://schemas.openxmlformats.org/officeDocument/2006/relationships/hyperlink" Target="https://1drv.ms/f/c/567D0687B8DEB630/IgD-qqAiyGzuSoandG8g-o50ATNNyRglbx-yK03x39U4Cog?e=WJvDPW" TargetMode="External" Id="rId30"/><Relationship Type="http://schemas.openxmlformats.org/officeDocument/2006/relationships/hyperlink" Target="https://1drv.ms/f/c/567D0687B8DEB630/IgDarzt3RPWMSp9tlXfFQnHcAV7SLNursEoFtbGDfNhdyEI?e=QNG8zZ" TargetMode="External" Id="rId31"/><Relationship Type="http://schemas.openxmlformats.org/officeDocument/2006/relationships/hyperlink" Target="https://1drv.ms/f/c/567D0687B8DEB630/IgB2n0Ng5gISTKd8R1AFQm-TAVFt5W176FX_aEI8oGuSSR8?e=4gDsJH" TargetMode="External" Id="rId32"/><Relationship Type="http://schemas.openxmlformats.org/officeDocument/2006/relationships/hyperlink" Target="https://1drv.ms/f/c/567D0687B8DEB630/IgCXSki5bDQZRI1r90r4dIoJASX-B6FVnJy4ChAl019JlEo?e=f6BosZ" TargetMode="External" Id="rId33"/><Relationship Type="http://schemas.openxmlformats.org/officeDocument/2006/relationships/hyperlink" Target="https://1drv.ms/f/c/567D0687B8DEB630/IgBQzV8rcuEfQYtc2u3kJQ4xARbdjiDWP_0tHVm3wr7wufc?e=NExa01" TargetMode="External" Id="rId34"/></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FFFF00"/>
    <outlinePr summaryBelow="1" summaryRight="1"/>
    <pageSetUpPr/>
  </sheetPr>
  <dimension ref="A1:AU930"/>
  <sheetViews>
    <sheetView tabSelected="1" topLeftCell="AG71" workbookViewId="0">
      <selection activeCell="AH76" sqref="AH76"/>
    </sheetView>
  </sheetViews>
  <sheetFormatPr baseColWidth="10" defaultColWidth="12.6640625" defaultRowHeight="15" customHeight="1"/>
  <cols>
    <col width="2.5" customWidth="1" style="184" min="1" max="1"/>
    <col width="6.6640625" customWidth="1" style="184" min="2" max="2"/>
    <col width="2.6640625" customWidth="1" style="184" min="3" max="3"/>
    <col width="8.6640625" customWidth="1" style="184" min="4" max="4"/>
    <col width="6.6640625" customWidth="1" style="184" min="5" max="5"/>
    <col width="9.5" customWidth="1" style="184" min="6" max="6"/>
    <col width="61.5" customWidth="1" style="184" min="7" max="7"/>
    <col width="17" customWidth="1" style="184" min="8" max="8"/>
    <col width="16.83203125" customWidth="1" style="184" min="9" max="9"/>
    <col width="11.5" customWidth="1" style="184" min="10" max="10"/>
    <col width="9.5" customWidth="1" style="184" min="11" max="11"/>
    <col width="9.1640625" customWidth="1" style="184" min="12" max="12"/>
    <col width="8.5" customWidth="1" style="184" min="13" max="20"/>
    <col width="9.1640625" customWidth="1" style="184" min="21" max="28"/>
    <col width="66" customWidth="1" style="184" min="29" max="29"/>
    <col width="61.5" customWidth="1" style="184" min="30" max="30"/>
    <col width="63.5" customWidth="1" style="184" min="31" max="31"/>
    <col width="39.6640625" customWidth="1" style="184" min="32" max="35"/>
    <col width="16.6640625" customWidth="1" style="184" min="36" max="36"/>
    <col width="14.6640625" customWidth="1" style="184" min="37" max="37"/>
    <col width="13.1640625" customWidth="1" style="184" min="38" max="46"/>
    <col width="12.5" customWidth="1" style="184" min="47" max="47"/>
  </cols>
  <sheetData>
    <row r="1" ht="31.5" customHeight="1" s="184">
      <c r="A1" s="196" t="inlineStr">
        <is>
          <t>PENGUKURAN KINERJA TRIWULANAN TAHUN 2026</t>
        </is>
      </c>
      <c r="AM1" s="1" t="n"/>
      <c r="AN1" s="1" t="n"/>
      <c r="AO1" s="1" t="n"/>
      <c r="AP1" s="1" t="n"/>
      <c r="AQ1" s="1" t="n"/>
      <c r="AR1" s="1" t="n"/>
      <c r="AS1" s="1" t="n"/>
      <c r="AT1" s="1" t="n"/>
    </row>
    <row r="2" ht="16.5" customHeight="1" s="184">
      <c r="A2" s="159" t="n"/>
      <c r="B2" s="159" t="n"/>
      <c r="C2" s="159" t="n"/>
      <c r="D2" s="159" t="n"/>
      <c r="E2" s="159" t="n"/>
      <c r="F2" s="159" t="n"/>
      <c r="G2" s="159" t="n"/>
      <c r="H2" s="159" t="n"/>
      <c r="I2" s="159" t="n"/>
      <c r="J2" s="159" t="n"/>
      <c r="K2" s="159" t="n"/>
      <c r="L2" s="159" t="n"/>
      <c r="M2" s="159" t="n"/>
      <c r="N2" s="159" t="n"/>
      <c r="O2" s="159" t="n"/>
      <c r="P2" s="159" t="n"/>
      <c r="Q2" s="159" t="n"/>
      <c r="R2" s="159" t="n"/>
      <c r="S2" s="159" t="n"/>
      <c r="T2" s="159" t="n"/>
      <c r="U2" s="159" t="n"/>
      <c r="V2" s="159" t="n"/>
      <c r="W2" s="159" t="n"/>
      <c r="X2" s="159" t="n"/>
      <c r="Y2" s="159" t="n"/>
      <c r="Z2" s="159" t="n"/>
      <c r="AA2" s="159" t="n"/>
      <c r="AB2" s="159" t="n"/>
      <c r="AC2" s="159" t="n"/>
      <c r="AD2" s="159" t="n"/>
      <c r="AE2" s="159" t="n"/>
      <c r="AF2" s="159" t="n"/>
      <c r="AG2" s="159" t="n"/>
      <c r="AH2" s="159" t="n"/>
      <c r="AI2" s="159" t="n"/>
      <c r="AJ2" s="159" t="n"/>
      <c r="AK2" s="159" t="n"/>
      <c r="AL2" s="159" t="n"/>
      <c r="AM2" s="1" t="n"/>
      <c r="AN2" s="1" t="n"/>
      <c r="AO2" s="1" t="n"/>
      <c r="AP2" s="1" t="n"/>
      <c r="AQ2" s="1" t="n"/>
      <c r="AR2" s="1" t="n"/>
      <c r="AS2" s="1" t="n"/>
      <c r="AT2" s="1" t="n"/>
    </row>
    <row r="3" ht="14.25" customHeight="1" s="184">
      <c r="A3" s="2" t="inlineStr">
        <is>
          <t>Satuan Kerja :</t>
        </is>
      </c>
      <c r="B3" s="3" t="n"/>
      <c r="C3" s="4" t="n"/>
      <c r="D3" s="4" t="n"/>
      <c r="E3" s="2" t="inlineStr">
        <is>
          <t>BPS Kota Bima</t>
        </is>
      </c>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5" t="n"/>
      <c r="AH3" s="5" t="n"/>
      <c r="AI3" s="5" t="n"/>
      <c r="AJ3" s="5" t="n"/>
      <c r="AK3" s="5" t="n"/>
      <c r="AL3" s="5" t="n"/>
      <c r="AM3" s="5" t="n"/>
      <c r="AN3" s="5" t="n"/>
      <c r="AO3" s="5" t="n"/>
      <c r="AP3" s="5" t="n"/>
      <c r="AQ3" s="5" t="n"/>
      <c r="AR3" s="5" t="n"/>
      <c r="AS3" s="5" t="n"/>
      <c r="AT3" s="5" t="n"/>
    </row>
    <row r="4" ht="14.25" customHeight="1" s="184">
      <c r="A4" s="1" t="inlineStr">
        <is>
          <t>Nilai SAKIP 2026:</t>
        </is>
      </c>
      <c r="B4" s="1" t="n"/>
      <c r="C4" s="1" t="n"/>
      <c r="D4" s="1" t="n"/>
      <c r="E4" s="6" t="n"/>
      <c r="F4" s="1" t="n"/>
      <c r="G4" s="1" t="n"/>
      <c r="H4" s="7" t="n"/>
      <c r="I4" s="7" t="n"/>
      <c r="J4" s="7" t="n"/>
      <c r="K4" s="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row>
    <row r="5" ht="14.25" customHeight="1" s="184">
      <c r="A5" s="1" t="inlineStr">
        <is>
          <t>Predikat SAKIP 2026:</t>
        </is>
      </c>
      <c r="B5" s="1" t="n"/>
      <c r="C5" s="1" t="n"/>
      <c r="D5" s="1" t="n"/>
      <c r="E5" s="1">
        <f>IF(E4&gt;90, "AA/Sangat Memuaskan", IF(E4&gt;80, "A/Memuaskan", IF(E4&gt;70, "BB/Sangat Baik", IF(E4&gt;60, "B/Baik", IF(E4&gt;50, "CC/Cukup (Memadai)", IF(E4&gt;30, "C/Kurang", "D/Sangat Kurang"))))))</f>
        <v/>
      </c>
      <c r="F5" s="1" t="n"/>
      <c r="G5" s="1" t="n"/>
      <c r="H5" s="7" t="n"/>
      <c r="I5" s="7" t="n"/>
      <c r="J5" s="7"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14.25" customHeight="1" s="184">
      <c r="A6" s="1" t="n"/>
      <c r="B6" s="1" t="n"/>
      <c r="C6" s="1" t="n"/>
      <c r="D6" s="1" t="n"/>
      <c r="E6" s="1" t="n"/>
      <c r="F6" s="1" t="n"/>
      <c r="G6" s="1" t="n"/>
      <c r="H6" s="7" t="n"/>
      <c r="I6" s="7" t="n"/>
      <c r="J6" s="7" t="n"/>
      <c r="K6" s="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14.25" customHeight="1" s="184">
      <c r="A7" s="10" t="inlineStr">
        <is>
          <t>Tujuan/Sasaran/Indikator Kinerja</t>
        </is>
      </c>
      <c r="B7" s="197" t="n"/>
      <c r="C7" s="197" t="n"/>
      <c r="D7" s="197" t="n"/>
      <c r="E7" s="197" t="n"/>
      <c r="F7" s="197" t="n"/>
      <c r="G7" s="198" t="n"/>
      <c r="H7" s="10" t="inlineStr">
        <is>
          <t>Jenis (IKU atau Proksi)</t>
        </is>
      </c>
      <c r="I7" s="10" t="inlineStr">
        <is>
          <t>Jenis (Triwulanan atau Tahunan)</t>
        </is>
      </c>
      <c r="J7" s="10" t="inlineStr">
        <is>
          <t>Jenis (% atau Non %)</t>
        </is>
      </c>
      <c r="K7" s="10" t="inlineStr">
        <is>
          <t>Target</t>
        </is>
      </c>
      <c r="L7" s="10" t="inlineStr">
        <is>
          <t>Satuan</t>
        </is>
      </c>
      <c r="M7" s="10" t="inlineStr">
        <is>
          <t>Alokasi Target 
(Kumulatif)</t>
        </is>
      </c>
      <c r="N7" s="197" t="n"/>
      <c r="O7" s="197" t="n"/>
      <c r="P7" s="198" t="n"/>
      <c r="Q7" s="10" t="inlineStr">
        <is>
          <t>Realisasi
(Kumulatif)</t>
        </is>
      </c>
      <c r="R7" s="197" t="n"/>
      <c r="S7" s="197" t="n"/>
      <c r="T7" s="198" t="n"/>
      <c r="U7" s="11" t="inlineStr">
        <is>
          <t>Capaian Kinerja</t>
        </is>
      </c>
      <c r="V7" s="199" t="n"/>
      <c r="W7" s="199" t="n"/>
      <c r="X7" s="199" t="n"/>
      <c r="Y7" s="199" t="n"/>
      <c r="Z7" s="199" t="n"/>
      <c r="AA7" s="199" t="n"/>
      <c r="AB7" s="200" t="n"/>
      <c r="AC7" s="201" t="inlineStr">
        <is>
          <t>Analisis Pencapaian Kinerja di Triwulan Berjalan</t>
        </is>
      </c>
      <c r="AD7" s="199" t="n"/>
      <c r="AE7" s="199" t="n"/>
      <c r="AF7" s="199" t="n"/>
      <c r="AG7" s="199" t="n"/>
      <c r="AH7" s="199" t="n"/>
      <c r="AI7" s="200" t="n"/>
      <c r="AJ7" s="202" t="inlineStr">
        <is>
          <t>Penilaian Kinerja Organisasi (PKO)</t>
        </is>
      </c>
      <c r="AK7" s="199" t="n"/>
      <c r="AL7" s="200" t="n"/>
      <c r="AM7" s="8" t="n"/>
      <c r="AN7" s="8" t="n"/>
      <c r="AO7" s="8" t="n"/>
      <c r="AP7" s="8" t="n"/>
      <c r="AQ7" s="8" t="n"/>
      <c r="AR7" s="8" t="n"/>
      <c r="AS7" s="8" t="n"/>
      <c r="AT7" s="8" t="n"/>
      <c r="AU7" s="9" t="n"/>
    </row>
    <row r="8" ht="14.25" customHeight="1" s="184">
      <c r="A8" s="203" t="n"/>
      <c r="G8" s="204" t="n"/>
      <c r="H8" s="205" t="n"/>
      <c r="I8" s="205" t="n"/>
      <c r="J8" s="205" t="n"/>
      <c r="K8" s="205" t="n"/>
      <c r="L8" s="205" t="n"/>
      <c r="M8" s="206" t="n"/>
      <c r="N8" s="207" t="n"/>
      <c r="O8" s="207" t="n"/>
      <c r="P8" s="208" t="n"/>
      <c r="Q8" s="206" t="n"/>
      <c r="R8" s="207" t="n"/>
      <c r="S8" s="207" t="n"/>
      <c r="T8" s="208" t="n"/>
      <c r="U8" s="11" t="inlineStr">
        <is>
          <t>Terhadap Target Triwulanan</t>
        </is>
      </c>
      <c r="V8" s="199" t="n"/>
      <c r="W8" s="199" t="n"/>
      <c r="X8" s="200" t="n"/>
      <c r="Y8" s="11" t="inlineStr">
        <is>
          <t>Terhadap Target Setahun</t>
        </is>
      </c>
      <c r="Z8" s="199" t="n"/>
      <c r="AA8" s="199" t="n"/>
      <c r="AB8" s="200" t="n"/>
      <c r="AC8" s="201" t="inlineStr">
        <is>
          <t>Kendala yang dihadapi pada Ttriwulan Berjalan</t>
        </is>
      </c>
      <c r="AD8" s="201" t="inlineStr">
        <is>
          <t>Solusi yang sudah dilakukan pada Triwulan Berjalan</t>
        </is>
      </c>
      <c r="AE8" s="201" t="inlineStr">
        <is>
          <t>Rencana Tindak lanjut</t>
        </is>
      </c>
      <c r="AF8" s="201" t="inlineStr">
        <is>
          <t>PIC Tindak Lanjut</t>
        </is>
      </c>
      <c r="AG8" s="201" t="inlineStr">
        <is>
          <t>Batas Waktu Tindak lanjut</t>
        </is>
      </c>
      <c r="AH8" s="201" t="inlineStr">
        <is>
          <t>Link Bukti Dukung Kinerja</t>
        </is>
      </c>
      <c r="AI8" s="201" t="inlineStr">
        <is>
          <t>Link Bukti Dukung Tindak Lanjut Triwulan Sebelumnya</t>
        </is>
      </c>
      <c r="AJ8" s="202" t="inlineStr">
        <is>
          <t>Normalisasi Capaian PK (1)</t>
        </is>
      </c>
      <c r="AK8" s="202" t="inlineStr">
        <is>
          <t>Koreksi Normalisasi Capaian PK Berdasarkan Predikat AKIP (2)</t>
        </is>
      </c>
      <c r="AL8" s="202" t="inlineStr">
        <is>
          <t>Nilai Akhir Capaian PK = (1)x(100%-(2))</t>
        </is>
      </c>
      <c r="AM8" s="8" t="n"/>
      <c r="AN8" s="8" t="n"/>
      <c r="AO8" s="8" t="n"/>
      <c r="AP8" s="8" t="n"/>
      <c r="AQ8" s="8" t="n"/>
      <c r="AR8" s="8" t="n"/>
      <c r="AS8" s="8" t="n"/>
      <c r="AT8" s="8" t="n"/>
      <c r="AU8" s="9" t="n"/>
    </row>
    <row r="9" ht="75" customHeight="1" s="184">
      <c r="A9" s="206" t="n"/>
      <c r="B9" s="207" t="n"/>
      <c r="C9" s="207" t="n"/>
      <c r="D9" s="207" t="n"/>
      <c r="E9" s="207" t="n"/>
      <c r="F9" s="207" t="n"/>
      <c r="G9" s="208" t="n"/>
      <c r="H9" s="209" t="n"/>
      <c r="I9" s="209" t="n"/>
      <c r="J9" s="209" t="n"/>
      <c r="K9" s="209" t="n"/>
      <c r="L9" s="209" t="n"/>
      <c r="M9" s="10" t="inlineStr">
        <is>
          <t>TW I</t>
        </is>
      </c>
      <c r="N9" s="10" t="inlineStr">
        <is>
          <t>TW II</t>
        </is>
      </c>
      <c r="O9" s="10" t="inlineStr">
        <is>
          <t>TW III</t>
        </is>
      </c>
      <c r="P9" s="10" t="inlineStr">
        <is>
          <t>TW IV</t>
        </is>
      </c>
      <c r="Q9" s="10" t="inlineStr">
        <is>
          <t>TW I</t>
        </is>
      </c>
      <c r="R9" s="10" t="inlineStr">
        <is>
          <t>TW II</t>
        </is>
      </c>
      <c r="S9" s="10" t="inlineStr">
        <is>
          <t>TW III</t>
        </is>
      </c>
      <c r="T9" s="10" t="inlineStr">
        <is>
          <t>TW IV</t>
        </is>
      </c>
      <c r="U9" s="11" t="inlineStr">
        <is>
          <t>TW I</t>
        </is>
      </c>
      <c r="V9" s="11" t="inlineStr">
        <is>
          <t>TW II</t>
        </is>
      </c>
      <c r="W9" s="11" t="inlineStr">
        <is>
          <t>TW III</t>
        </is>
      </c>
      <c r="X9" s="11" t="inlineStr">
        <is>
          <t>TW IV</t>
        </is>
      </c>
      <c r="Y9" s="11" t="inlineStr">
        <is>
          <t>TW I</t>
        </is>
      </c>
      <c r="Z9" s="11" t="inlineStr">
        <is>
          <t>TW II</t>
        </is>
      </c>
      <c r="AA9" s="11" t="inlineStr">
        <is>
          <t>TW III</t>
        </is>
      </c>
      <c r="AB9" s="11" t="inlineStr">
        <is>
          <t>TW IV</t>
        </is>
      </c>
      <c r="AC9" s="209" t="n"/>
      <c r="AD9" s="209" t="n"/>
      <c r="AE9" s="209" t="n"/>
      <c r="AF9" s="209" t="n"/>
      <c r="AG9" s="209" t="n"/>
      <c r="AH9" s="209" t="n"/>
      <c r="AI9" s="209" t="n"/>
      <c r="AJ9" s="209" t="n"/>
      <c r="AK9" s="209" t="n"/>
      <c r="AL9" s="209" t="n"/>
      <c r="AM9" s="8" t="n"/>
      <c r="AN9" s="8" t="n"/>
      <c r="AO9" s="8" t="n"/>
      <c r="AP9" s="8" t="n"/>
      <c r="AQ9" s="8" t="n"/>
      <c r="AR9" s="8" t="n"/>
      <c r="AS9" s="8" t="n"/>
      <c r="AT9" s="8" t="n"/>
      <c r="AU9" s="9" t="n"/>
    </row>
    <row r="10" ht="14.25" customHeight="1" s="184">
      <c r="A10" s="12" t="inlineStr">
        <is>
          <t>T1: Mewujudkan Perumusan Kebijakan dan Pengambilan Keputusan Berbasis Data Statistik Berkualitas dan Insight yang Relevan</t>
        </is>
      </c>
      <c r="B10" s="12" t="n"/>
      <c r="C10" s="12" t="n"/>
      <c r="D10" s="12" t="n"/>
      <c r="E10" s="12" t="n"/>
      <c r="F10" s="12" t="n"/>
      <c r="G10" s="12" t="n"/>
      <c r="H10" s="13" t="n"/>
      <c r="I10" s="13" t="n"/>
      <c r="J10" s="13"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 t="n"/>
      <c r="AN10" s="1" t="n"/>
      <c r="AO10" s="1" t="n"/>
      <c r="AP10" s="1" t="n"/>
      <c r="AQ10" s="1" t="n"/>
      <c r="AR10" s="1" t="n"/>
      <c r="AS10" s="1" t="n"/>
      <c r="AT10" s="1" t="n"/>
    </row>
    <row r="11" ht="31.5" customHeight="1" s="184">
      <c r="A11" s="12" t="n"/>
      <c r="B11" s="12" t="inlineStr">
        <is>
          <t>1.1.1</t>
        </is>
      </c>
      <c r="C11" s="210" t="inlineStr">
        <is>
          <t>Terwujudnya Penyediaan Data dan Insight Statistik Kependudukan dan Ketenagakerjaan yang Berkualitas</t>
        </is>
      </c>
      <c r="D11" s="199" t="n"/>
      <c r="E11" s="199" t="n"/>
      <c r="F11" s="199" t="n"/>
      <c r="G11" s="200" t="n"/>
      <c r="H11" s="13" t="n"/>
      <c r="I11" s="13" t="n"/>
      <c r="J11" s="13" t="n"/>
      <c r="K11" s="12" t="n"/>
      <c r="L11" s="12" t="n"/>
      <c r="M11" s="12" t="n"/>
      <c r="N11" s="12" t="n"/>
      <c r="O11" s="12" t="n"/>
      <c r="P11" s="12" t="n"/>
      <c r="Q11" s="12" t="n"/>
      <c r="R11" s="12" t="n"/>
      <c r="S11" s="12" t="n"/>
      <c r="T11" s="12" t="n"/>
      <c r="U11" s="14" t="n"/>
      <c r="V11" s="14" t="n"/>
      <c r="W11" s="14" t="n"/>
      <c r="X11" s="14" t="n"/>
      <c r="Y11" s="14" t="n"/>
      <c r="Z11" s="14" t="n"/>
      <c r="AA11" s="14" t="n"/>
      <c r="AB11" s="14" t="n"/>
      <c r="AC11" s="12" t="n"/>
      <c r="AD11" s="12" t="n"/>
      <c r="AE11" s="12" t="n"/>
      <c r="AF11" s="12" t="n"/>
      <c r="AG11" s="12" t="n"/>
      <c r="AH11" s="121" t="n"/>
      <c r="AI11" s="121" t="n"/>
      <c r="AJ11" s="15" t="n"/>
      <c r="AK11" s="15" t="n"/>
      <c r="AL11" s="15" t="n"/>
      <c r="AM11" s="1" t="n"/>
      <c r="AN11" s="1" t="n"/>
      <c r="AO11" s="1" t="n"/>
      <c r="AP11" s="1" t="n"/>
      <c r="AQ11" s="1" t="n"/>
      <c r="AR11" s="1" t="n"/>
      <c r="AS11" s="1" t="n"/>
      <c r="AT11" s="1" t="n"/>
    </row>
    <row r="12" ht="370" customHeight="1" s="184">
      <c r="A12" s="12" t="n"/>
      <c r="B12" s="12" t="n"/>
      <c r="C12" s="12" t="n"/>
      <c r="D12" s="12" t="inlineStr">
        <is>
          <t>1.1.1.1</t>
        </is>
      </c>
      <c r="E12" s="210" t="inlineStr">
        <is>
          <t>Persentase Publikasi/Laporan Statistik Kependudukan dan Ketenagakerjaan yang Berkualitas</t>
        </is>
      </c>
      <c r="F12" s="199" t="n"/>
      <c r="G12" s="200" t="n"/>
      <c r="H12" s="13" t="inlineStr">
        <is>
          <t>IKU</t>
        </is>
      </c>
      <c r="I12" s="13" t="inlineStr">
        <is>
          <t>Tahunan</t>
        </is>
      </c>
      <c r="J12" s="13" t="inlineStr">
        <is>
          <t>%</t>
        </is>
      </c>
      <c r="K12" s="12">
        <f>IF(OR(K14=0,ISBLANK(K14)),0,K13/K14*100)</f>
        <v/>
      </c>
      <c r="L12" s="12" t="inlineStr">
        <is>
          <t>Persen</t>
        </is>
      </c>
      <c r="M12" s="12">
        <f>IF(OR(M14=0,ISBLANK(M14)),0,M13/M14*100)</f>
        <v/>
      </c>
      <c r="N12" s="12">
        <f>IF(OR(N14=0,ISBLANK(N14)),0,N13/N14*100)</f>
        <v/>
      </c>
      <c r="O12" s="12">
        <f>IF(OR(O14=0,ISBLANK(O14)),0,O13/O14*100)</f>
        <v/>
      </c>
      <c r="P12" s="12">
        <f>IF(OR(P14=0,ISBLANK(P14)),0,P13/P14*100)</f>
        <v/>
      </c>
      <c r="Q12" s="12">
        <f>IF(OR(Q14=0,ISBLANK(Q14)),0,Q13/Q14*100)</f>
        <v/>
      </c>
      <c r="R12" s="12">
        <f>IF(OR(R14=0,ISBLANK(R14)),0,R13/R14*100)</f>
        <v/>
      </c>
      <c r="S12" s="12">
        <f>IF(OR(S14=0,ISBLANK(S14)),0,S13/S14*100)</f>
        <v/>
      </c>
      <c r="T12" s="12">
        <f>IF(OR(T14=0,ISBLANK(T14)),0,T13/T14*100)</f>
        <v/>
      </c>
      <c r="U12" s="14">
        <f>IF(OR(M12=0, ISBLANK(M12)), 0, IF((Q12/M12*100)&gt;120,120,(Q12/M12*100)))</f>
        <v/>
      </c>
      <c r="V12" s="14">
        <f>IF(OR(N12=0, ISBLANK(N12)), 0, IF((R12/N12*100)&gt;120,120,(R12/N12*100)))</f>
        <v/>
      </c>
      <c r="W12" s="14">
        <f>IF(OR(O12=0, ISBLANK(O12)), 0, IF((S12/O12*100)&gt;120,120,(S12/O12*100)))</f>
        <v/>
      </c>
      <c r="X12" s="14">
        <f>IF(OR(P12=0, ISBLANK(P12)), 0, IF((T12/P12*100)&gt;120,120,(T12/P12*100)))</f>
        <v/>
      </c>
      <c r="Y12" s="14">
        <f>IF(OR($K12=0, ISBLANK($K12)), 0, IF((Q12/$K12*100)&gt;120,120,(Q12/$K12*100)))</f>
        <v/>
      </c>
      <c r="Z12" s="14">
        <f>IF(OR($K12=0, ISBLANK($K12)), 0, IF((R12/$K12*100)&gt;120,120,(R12/$K12*100)))</f>
        <v/>
      </c>
      <c r="AA12" s="14">
        <f>IF(OR($K12=0, ISBLANK($K12)), 0, IF((S12/$K12*100)&gt;120,120,(S12/$K12*100)))</f>
        <v/>
      </c>
      <c r="AB12" s="14">
        <f>IF(OR($K12=0, ISBLANK($K12)), 0, IF((T12/$K12*100)&gt;120,120,(T12/$K12*100)))</f>
        <v/>
      </c>
      <c r="AC12" s="96" t="n"/>
      <c r="AD12" s="97" t="n"/>
      <c r="AE12" s="76" t="n"/>
      <c r="AF12" s="16" t="n"/>
      <c r="AG12" s="125" t="n"/>
      <c r="AH12" s="123" t="n"/>
      <c r="AI12" s="123" t="n"/>
      <c r="AJ12" s="120">
        <f>IF(AB12&gt;=110,"110",AB12)</f>
        <v/>
      </c>
      <c r="AK12" s="18">
        <f>IF(E$5="AA/Sangat Memuaskan","0%",IF(E$5="A/Memuaskan","0%",IF(E$5="BB/Sangat Baik","10%",IF(E$5="B/Baik","15%",IF(E$5="CC/Cukup (Memadai)","20%",IF(E$5="C/Kurang","30%","30%"))))))</f>
        <v/>
      </c>
      <c r="AL12" s="15">
        <f>AJ12*(100%-AK12)</f>
        <v/>
      </c>
      <c r="AM12" s="1" t="n"/>
      <c r="AN12" s="1" t="n"/>
      <c r="AO12" s="1" t="n"/>
      <c r="AP12" s="1" t="n"/>
      <c r="AQ12" s="1" t="n"/>
      <c r="AR12" s="1" t="n"/>
      <c r="AS12" s="1" t="n"/>
      <c r="AT12" s="1" t="n"/>
    </row>
    <row r="13" ht="35.25" customHeight="1" s="184">
      <c r="A13" s="12" t="n"/>
      <c r="B13" s="12" t="n"/>
      <c r="C13" s="12" t="n"/>
      <c r="D13" s="12" t="n"/>
      <c r="E13" s="210" t="inlineStr">
        <is>
          <t>X: Jumlah Publikasi/Laporan Statistik Kependudukan dan Ketenagakerjaan yang berkualitas</t>
        </is>
      </c>
      <c r="F13" s="199" t="n"/>
      <c r="G13" s="200" t="n"/>
      <c r="H13" s="13" t="n"/>
      <c r="I13" s="13" t="n"/>
      <c r="J13" s="13" t="n"/>
      <c r="K13" s="16" t="n">
        <v>2</v>
      </c>
      <c r="L13" s="13" t="n"/>
      <c r="M13" s="16" t="n">
        <v>0</v>
      </c>
      <c r="N13" s="16" t="n">
        <v>0</v>
      </c>
      <c r="O13" s="16" t="n">
        <v>0</v>
      </c>
      <c r="P13" s="16" t="n">
        <v>2</v>
      </c>
      <c r="Q13" s="16" t="n"/>
      <c r="R13" s="16" t="n"/>
      <c r="S13" s="16" t="n"/>
      <c r="T13" s="16" t="n"/>
      <c r="U13" s="19" t="n"/>
      <c r="V13" s="19" t="n"/>
      <c r="W13" s="19" t="n"/>
      <c r="X13" s="19" t="n"/>
      <c r="Y13" s="19" t="n"/>
      <c r="Z13" s="19" t="n"/>
      <c r="AA13" s="19" t="n"/>
      <c r="AB13" s="19" t="n"/>
      <c r="AC13" s="19" t="n"/>
      <c r="AD13" s="19" t="n"/>
      <c r="AE13" s="19" t="n"/>
      <c r="AF13" s="19" t="n"/>
      <c r="AG13" s="19" t="n"/>
      <c r="AH13" s="128" t="n"/>
      <c r="AI13" s="122" t="n"/>
      <c r="AJ13" s="19" t="n"/>
      <c r="AK13" s="19" t="n"/>
      <c r="AL13" s="19" t="n"/>
      <c r="AM13" s="1" t="n"/>
      <c r="AN13" s="1" t="n"/>
      <c r="AO13" s="1" t="n"/>
      <c r="AP13" s="1" t="n"/>
      <c r="AQ13" s="1" t="n"/>
      <c r="AR13" s="1" t="n"/>
      <c r="AS13" s="1" t="n"/>
      <c r="AT13" s="1" t="n"/>
    </row>
    <row r="14" ht="33" customHeight="1" s="184">
      <c r="A14" s="12" t="n"/>
      <c r="B14" s="12" t="n"/>
      <c r="C14" s="12" t="n"/>
      <c r="D14" s="12" t="n"/>
      <c r="E14" s="210" t="inlineStr">
        <is>
          <t>Y: Jumlah seluruh Publikasi/Laporan Statistik Kependudukan dan Ketenagakerjaan yang dihasilkan</t>
        </is>
      </c>
      <c r="F14" s="199" t="n"/>
      <c r="G14" s="200" t="n"/>
      <c r="H14" s="13" t="n"/>
      <c r="I14" s="13" t="n"/>
      <c r="J14" s="13" t="n"/>
      <c r="K14" s="16" t="n">
        <v>2</v>
      </c>
      <c r="L14" s="13" t="n"/>
      <c r="M14" s="16" t="n">
        <v>0</v>
      </c>
      <c r="N14" s="16" t="n">
        <v>0</v>
      </c>
      <c r="O14" s="16" t="n">
        <v>0</v>
      </c>
      <c r="P14" s="16" t="n">
        <v>2</v>
      </c>
      <c r="Q14" s="16" t="n"/>
      <c r="R14" s="16" t="n"/>
      <c r="S14" s="16" t="n"/>
      <c r="T14" s="16" t="n"/>
      <c r="U14" s="19" t="n"/>
      <c r="V14" s="19" t="n"/>
      <c r="W14" s="19" t="n"/>
      <c r="X14" s="19" t="n"/>
      <c r="Y14" s="19" t="n"/>
      <c r="Z14" s="19" t="n"/>
      <c r="AA14" s="19" t="n"/>
      <c r="AB14" s="19" t="n"/>
      <c r="AC14" s="19" t="n"/>
      <c r="AD14" s="19" t="n"/>
      <c r="AE14" s="19" t="n"/>
      <c r="AF14" s="19" t="n"/>
      <c r="AG14" s="19" t="n"/>
      <c r="AH14" s="118" t="n"/>
      <c r="AI14" s="19" t="n"/>
      <c r="AJ14" s="19" t="n"/>
      <c r="AK14" s="19" t="n"/>
      <c r="AL14" s="19" t="n"/>
      <c r="AM14" s="1" t="n"/>
      <c r="AN14" s="1" t="n"/>
      <c r="AO14" s="1" t="n"/>
      <c r="AP14" s="1" t="n"/>
      <c r="AQ14" s="1" t="n"/>
      <c r="AR14" s="1" t="n"/>
      <c r="AS14" s="1" t="n"/>
      <c r="AT14" s="1" t="n"/>
    </row>
    <row r="15" ht="14.25" customHeight="1" s="184">
      <c r="A15" s="12" t="n"/>
      <c r="B15" s="12" t="n"/>
      <c r="C15" s="12" t="n"/>
      <c r="D15" s="12" t="n"/>
      <c r="E15" s="12" t="n"/>
      <c r="F15" s="12" t="n"/>
      <c r="G15" s="12" t="n"/>
      <c r="H15" s="13" t="n"/>
      <c r="I15" s="13" t="n"/>
      <c r="J15" s="13" t="n"/>
      <c r="K15" s="12" t="n"/>
      <c r="L15" s="12" t="n"/>
      <c r="M15" s="12" t="n"/>
      <c r="N15" s="12" t="n"/>
      <c r="O15" s="12" t="n"/>
      <c r="P15" s="12" t="n"/>
      <c r="Q15" s="12" t="n"/>
      <c r="R15" s="12" t="n"/>
      <c r="S15" s="12" t="n"/>
      <c r="T15" s="20" t="n"/>
      <c r="U15" s="14" t="n"/>
      <c r="V15" s="14" t="n"/>
      <c r="W15" s="21" t="n"/>
      <c r="X15" s="14" t="n"/>
      <c r="Y15" s="12" t="n"/>
      <c r="Z15" s="12" t="n"/>
      <c r="AA15" s="12" t="n"/>
      <c r="AB15" s="12" t="n"/>
      <c r="AC15" s="12" t="n"/>
      <c r="AD15" s="12" t="n"/>
      <c r="AE15" s="12" t="n"/>
      <c r="AF15" s="12" t="n"/>
      <c r="AG15" s="12" t="n"/>
      <c r="AH15" s="119" t="n"/>
      <c r="AI15" s="12" t="n"/>
      <c r="AJ15" s="12" t="n"/>
      <c r="AK15" s="12" t="n"/>
      <c r="AL15" s="12" t="n"/>
      <c r="AM15" s="1" t="n"/>
      <c r="AN15" s="1" t="n"/>
      <c r="AO15" s="1" t="n"/>
      <c r="AP15" s="1" t="n"/>
      <c r="AQ15" s="1" t="n"/>
      <c r="AR15" s="1" t="n"/>
      <c r="AS15" s="1" t="n"/>
      <c r="AT15" s="1" t="n"/>
    </row>
    <row r="16" ht="15" customHeight="1" s="184">
      <c r="A16" s="12" t="n"/>
      <c r="B16" s="12" t="inlineStr">
        <is>
          <t>1.1.3</t>
        </is>
      </c>
      <c r="C16" s="211" t="inlineStr">
        <is>
          <t>Terwujudnya Penyediaan Data dan Insight Statistik Kesejahteraan Rakyat yang Berkualitas</t>
        </is>
      </c>
      <c r="D16" s="199" t="n"/>
      <c r="E16" s="199" t="n"/>
      <c r="F16" s="199" t="n"/>
      <c r="G16" s="200" t="n"/>
      <c r="H16" s="13" t="n"/>
      <c r="I16" s="13" t="n"/>
      <c r="J16" s="13" t="n"/>
      <c r="K16" s="12" t="n"/>
      <c r="L16" s="12" t="n"/>
      <c r="M16" s="12" t="n"/>
      <c r="N16" s="12" t="n"/>
      <c r="O16" s="12" t="n"/>
      <c r="P16" s="12" t="n"/>
      <c r="Q16" s="12" t="n"/>
      <c r="R16" s="12" t="n"/>
      <c r="S16" s="12" t="n"/>
      <c r="T16" s="12" t="n"/>
      <c r="U16" s="14" t="n"/>
      <c r="V16" s="14" t="n"/>
      <c r="W16" s="14" t="n"/>
      <c r="X16" s="14" t="n"/>
      <c r="Y16" s="14" t="n"/>
      <c r="Z16" s="14" t="n"/>
      <c r="AA16" s="14" t="n"/>
      <c r="AB16" s="14" t="n"/>
      <c r="AC16" s="12" t="n"/>
      <c r="AD16" s="12" t="n"/>
      <c r="AE16" s="12" t="n"/>
      <c r="AF16" s="12" t="n"/>
      <c r="AG16" s="12" t="n"/>
      <c r="AH16" s="126" t="n"/>
      <c r="AI16" s="121" t="n"/>
      <c r="AJ16" s="15" t="n"/>
      <c r="AK16" s="15" t="n"/>
      <c r="AL16" s="15" t="n"/>
      <c r="AM16" s="1" t="n"/>
      <c r="AN16" s="1" t="n"/>
      <c r="AO16" s="1" t="n"/>
      <c r="AP16" s="1" t="n"/>
      <c r="AQ16" s="1" t="n"/>
      <c r="AR16" s="1" t="n"/>
      <c r="AS16" s="1" t="n"/>
      <c r="AT16" s="1" t="n"/>
    </row>
    <row r="17" ht="180" customHeight="1" s="184">
      <c r="A17" s="12" t="n"/>
      <c r="B17" s="12" t="n"/>
      <c r="C17" s="12" t="n"/>
      <c r="D17" s="12" t="inlineStr">
        <is>
          <t>1.1.3.1</t>
        </is>
      </c>
      <c r="E17" s="210" t="inlineStr">
        <is>
          <t>Persentase Publikasi/Laporan Statistik Kesejahteraan Rakyat yang Berkualitas</t>
        </is>
      </c>
      <c r="F17" s="199" t="n"/>
      <c r="G17" s="200" t="n"/>
      <c r="H17" s="13" t="inlineStr">
        <is>
          <t>IKU</t>
        </is>
      </c>
      <c r="I17" s="13" t="inlineStr">
        <is>
          <t>Tahunan</t>
        </is>
      </c>
      <c r="J17" s="13" t="inlineStr">
        <is>
          <t>%</t>
        </is>
      </c>
      <c r="K17" s="12">
        <f>IF(OR(K19=0,ISBLANK(K19)),0,K18/K19*100)</f>
        <v/>
      </c>
      <c r="L17" s="12" t="inlineStr">
        <is>
          <t>Persen</t>
        </is>
      </c>
      <c r="M17" s="12">
        <f>IF(OR(M19=0,ISBLANK(M19)),0,M18/M19*100)</f>
        <v/>
      </c>
      <c r="N17" s="12">
        <f>IF(OR(N19=0,ISBLANK(N19)),0,N18/N19*100)</f>
        <v/>
      </c>
      <c r="O17" s="12">
        <f>IF(OR(O19=0,ISBLANK(O19)),0,O18/O19*100)</f>
        <v/>
      </c>
      <c r="P17" s="12">
        <f>IF(OR(P19=0,ISBLANK(P19)),0,P18/P19*100)</f>
        <v/>
      </c>
      <c r="Q17" s="12">
        <f>IF(OR(Q19=0,ISBLANK(Q19)),0,Q18/Q19*100)</f>
        <v/>
      </c>
      <c r="R17" s="12">
        <f>IF(OR(R19=0,ISBLANK(R19)),0,R18/R19*100)</f>
        <v/>
      </c>
      <c r="S17" s="12">
        <f>IF(OR(S19=0,ISBLANK(S19)),0,S18/S19*100)</f>
        <v/>
      </c>
      <c r="T17" s="12">
        <f>IF(OR(T19=0,ISBLANK(T19)),0,T18/T19*100)</f>
        <v/>
      </c>
      <c r="U17" s="14">
        <f>IF(OR(M17=0, ISBLANK(M17)), 0, IF((Q17/M17*100)&gt;120,120,(Q17/M17*100)))</f>
        <v/>
      </c>
      <c r="V17" s="14">
        <f>IF(OR(N17=0, ISBLANK(N17)), 0, IF((R17/N17*100)&gt;120,120,(R17/N17*100)))</f>
        <v/>
      </c>
      <c r="W17" s="14">
        <f>IF(OR(O17=0, ISBLANK(O17)), 0, IF((S17/O17*100)&gt;120,120,(S17/O17*100)))</f>
        <v/>
      </c>
      <c r="X17" s="14">
        <f>IF(OR(P17=0, ISBLANK(P17)), 0, IF((T17/P17*100)&gt;120,120,(T17/P17*100)))</f>
        <v/>
      </c>
      <c r="Y17" s="14">
        <f>IF(OR($K17=0, ISBLANK($K17)), 0, IF((Q17/$K17*100)&gt;120,120,(Q17/$K17*100)))</f>
        <v/>
      </c>
      <c r="Z17" s="14">
        <f>IF(OR($K17=0, ISBLANK($K17)), 0, IF((R17/$K17*100)&gt;120,120,(R17/$K17*100)))</f>
        <v/>
      </c>
      <c r="AA17" s="14">
        <f>IF(OR($K17=0, ISBLANK($K17)), 0, IF((S17/$K17*100)&gt;120,120,(S17/$K17*100)))</f>
        <v/>
      </c>
      <c r="AB17" s="14">
        <f>IF(OR($K17=0, ISBLANK($K17)), 0, IF((T17/$K17*100)&gt;120,120,(T17/$K17*100)))</f>
        <v/>
      </c>
      <c r="AC17" s="108" t="n"/>
      <c r="AD17" s="76" t="n"/>
      <c r="AE17" s="76" t="n"/>
      <c r="AF17" s="16" t="n"/>
      <c r="AG17" s="125" t="n"/>
      <c r="AH17" s="123" t="n"/>
      <c r="AI17" s="123" t="n"/>
      <c r="AJ17" s="120">
        <f>IF(AB17&gt;=110,"110",AB17)</f>
        <v/>
      </c>
      <c r="AK17" s="18">
        <f>IF(E$5="AA/Sangat Memuaskan","0%",IF(E$5="A/Memuaskan","0%",IF(E$5="BB/Sangat Baik","10%",IF(E$5="B/Baik","15%",IF(E$5="CC/Cukup (Memadai)","20%",IF(E$5="C/Kurang","30%","30%"))))))</f>
        <v/>
      </c>
      <c r="AL17" s="15">
        <f>AJ17*(100%-AK17)</f>
        <v/>
      </c>
      <c r="AM17" s="1" t="n"/>
      <c r="AN17" s="1" t="n"/>
      <c r="AO17" s="1" t="n"/>
      <c r="AP17" s="1" t="n"/>
      <c r="AQ17" s="1" t="n"/>
      <c r="AR17" s="1" t="n"/>
      <c r="AS17" s="1" t="n"/>
      <c r="AT17" s="1" t="n"/>
    </row>
    <row r="18" ht="15" customHeight="1" s="184">
      <c r="A18" s="12" t="n"/>
      <c r="B18" s="12" t="n"/>
      <c r="C18" s="12" t="n"/>
      <c r="D18" s="12" t="n"/>
      <c r="E18" s="210" t="inlineStr">
        <is>
          <t>X: Jumlah Publikasi/Laporan Statistik Kesejahteraan Rakyat yang berkualitas</t>
        </is>
      </c>
      <c r="F18" s="199" t="n"/>
      <c r="G18" s="200" t="n"/>
      <c r="H18" s="13" t="n"/>
      <c r="I18" s="13" t="n"/>
      <c r="J18" s="13" t="n"/>
      <c r="K18" s="16" t="n">
        <v>7</v>
      </c>
      <c r="L18" s="13" t="n"/>
      <c r="M18" s="16" t="n">
        <v>0</v>
      </c>
      <c r="N18" s="16" t="n">
        <v>0</v>
      </c>
      <c r="O18" s="16" t="n">
        <v>0</v>
      </c>
      <c r="P18" s="16" t="n">
        <v>7</v>
      </c>
      <c r="Q18" s="16" t="n"/>
      <c r="R18" s="16" t="n"/>
      <c r="S18" s="16" t="n"/>
      <c r="T18" s="16" t="n"/>
      <c r="U18" s="19" t="n"/>
      <c r="V18" s="19" t="n"/>
      <c r="W18" s="19" t="n"/>
      <c r="X18" s="19" t="n"/>
      <c r="Y18" s="19" t="n"/>
      <c r="Z18" s="19" t="n"/>
      <c r="AA18" s="19" t="n"/>
      <c r="AB18" s="19" t="n"/>
      <c r="AC18" s="19" t="n"/>
      <c r="AD18" s="19" t="n"/>
      <c r="AE18" s="19" t="n"/>
      <c r="AF18" s="19" t="n"/>
      <c r="AG18" s="19" t="n"/>
      <c r="AH18" s="128" t="n"/>
      <c r="AI18" s="122" t="n"/>
      <c r="AJ18" s="19" t="n"/>
      <c r="AK18" s="19" t="n"/>
      <c r="AL18" s="19" t="n"/>
      <c r="AM18" s="1" t="n"/>
      <c r="AN18" s="1" t="n"/>
      <c r="AO18" s="1" t="n"/>
      <c r="AP18" s="1" t="n"/>
      <c r="AQ18" s="1" t="n"/>
      <c r="AR18" s="1" t="n"/>
      <c r="AS18" s="1" t="n"/>
      <c r="AT18" s="1" t="n"/>
    </row>
    <row r="19" ht="32.25" customHeight="1" s="184">
      <c r="A19" s="12" t="n"/>
      <c r="B19" s="12" t="n"/>
      <c r="C19" s="12" t="n"/>
      <c r="D19" s="12" t="n"/>
      <c r="E19" s="210" t="inlineStr">
        <is>
          <t>Y: Jumlah seluruh Publikasi/Laporan Statistik Kesejahteraan Rakyat yang dihasilkan</t>
        </is>
      </c>
      <c r="F19" s="199" t="n"/>
      <c r="G19" s="200" t="n"/>
      <c r="H19" s="13" t="n"/>
      <c r="I19" s="13" t="n"/>
      <c r="J19" s="13" t="n"/>
      <c r="K19" s="16" t="n">
        <v>7</v>
      </c>
      <c r="L19" s="13" t="n"/>
      <c r="M19" s="16" t="n">
        <v>0</v>
      </c>
      <c r="N19" s="16" t="n">
        <v>0</v>
      </c>
      <c r="O19" s="16" t="n">
        <v>0</v>
      </c>
      <c r="P19" s="16" t="n">
        <v>7</v>
      </c>
      <c r="Q19" s="16" t="n"/>
      <c r="R19" s="16" t="n"/>
      <c r="S19" s="16" t="n"/>
      <c r="T19" s="16" t="n"/>
      <c r="U19" s="19" t="n"/>
      <c r="V19" s="19" t="n"/>
      <c r="W19" s="19" t="n"/>
      <c r="X19" s="19" t="n"/>
      <c r="Y19" s="19" t="n"/>
      <c r="Z19" s="19" t="n"/>
      <c r="AA19" s="19" t="n"/>
      <c r="AB19" s="19" t="n"/>
      <c r="AC19" s="19" t="n"/>
      <c r="AD19" s="19" t="n"/>
      <c r="AE19" s="19" t="n"/>
      <c r="AF19" s="19" t="n"/>
      <c r="AG19" s="19" t="n"/>
      <c r="AH19" s="118" t="n"/>
      <c r="AI19" s="19" t="n"/>
      <c r="AJ19" s="19" t="n"/>
      <c r="AK19" s="19" t="n"/>
      <c r="AL19" s="19" t="n"/>
      <c r="AM19" s="1" t="n"/>
      <c r="AN19" s="1" t="n"/>
      <c r="AO19" s="1" t="n"/>
      <c r="AP19" s="1" t="n"/>
      <c r="AQ19" s="1" t="n"/>
      <c r="AR19" s="1" t="n"/>
      <c r="AS19" s="1" t="n"/>
      <c r="AT19" s="1" t="n"/>
    </row>
    <row r="20" ht="14.25" customHeight="1" s="184">
      <c r="A20" s="12" t="n"/>
      <c r="B20" s="12" t="n"/>
      <c r="C20" s="12" t="n"/>
      <c r="D20" s="12" t="n"/>
      <c r="E20" s="12" t="n"/>
      <c r="F20" s="12" t="n"/>
      <c r="G20" s="12" t="n"/>
      <c r="H20" s="13" t="n"/>
      <c r="I20" s="13" t="n"/>
      <c r="J20" s="13" t="n"/>
      <c r="K20" s="12" t="n"/>
      <c r="L20" s="12" t="n"/>
      <c r="M20" s="12" t="n"/>
      <c r="N20" s="12" t="n"/>
      <c r="O20" s="12" t="n"/>
      <c r="P20" s="12" t="n"/>
      <c r="Q20" s="12" t="n"/>
      <c r="R20" s="12" t="n"/>
      <c r="S20" s="12" t="n"/>
      <c r="T20" s="20" t="n"/>
      <c r="U20" s="14" t="n"/>
      <c r="V20" s="14" t="n"/>
      <c r="W20" s="21" t="n"/>
      <c r="X20" s="14" t="n"/>
      <c r="Y20" s="12" t="n"/>
      <c r="Z20" s="12" t="n"/>
      <c r="AA20" s="12" t="n"/>
      <c r="AB20" s="12" t="n"/>
      <c r="AC20" s="12" t="n"/>
      <c r="AD20" s="12" t="n"/>
      <c r="AE20" s="12" t="n"/>
      <c r="AF20" s="12" t="n"/>
      <c r="AG20" s="12" t="n"/>
      <c r="AH20" s="119" t="n"/>
      <c r="AI20" s="12" t="n"/>
      <c r="AJ20" s="12" t="n"/>
      <c r="AK20" s="12" t="n"/>
      <c r="AL20" s="12" t="n"/>
      <c r="AM20" s="1" t="n"/>
      <c r="AN20" s="1" t="n"/>
      <c r="AO20" s="1" t="n"/>
      <c r="AP20" s="1" t="n"/>
      <c r="AQ20" s="1" t="n"/>
      <c r="AR20" s="1" t="n"/>
      <c r="AS20" s="1" t="n"/>
      <c r="AT20" s="1" t="n"/>
    </row>
    <row r="21" ht="14.25" customHeight="1" s="184">
      <c r="A21" s="12" t="n"/>
      <c r="B21" s="12" t="inlineStr">
        <is>
          <t>1.1.5</t>
        </is>
      </c>
      <c r="C21" s="12" t="inlineStr">
        <is>
          <t>Terwujudnya penyediaan Data dan Insight Statistik Ketahanan Sosial yang Berkualitas</t>
        </is>
      </c>
      <c r="D21" s="12" t="n"/>
      <c r="E21" s="12" t="n"/>
      <c r="F21" s="12" t="n"/>
      <c r="G21" s="12" t="n"/>
      <c r="H21" s="13" t="n"/>
      <c r="I21" s="13" t="n"/>
      <c r="J21" s="13" t="n"/>
      <c r="K21" s="12" t="n"/>
      <c r="L21" s="12" t="n"/>
      <c r="M21" s="12" t="n"/>
      <c r="N21" s="12" t="n"/>
      <c r="O21" s="12" t="n"/>
      <c r="P21" s="12" t="n"/>
      <c r="Q21" s="12" t="n"/>
      <c r="R21" s="12" t="n"/>
      <c r="S21" s="12" t="n"/>
      <c r="T21" s="12" t="n"/>
      <c r="U21" s="14" t="n"/>
      <c r="V21" s="14" t="n"/>
      <c r="W21" s="14" t="n"/>
      <c r="X21" s="14" t="n"/>
      <c r="Y21" s="14" t="n"/>
      <c r="Z21" s="14" t="n"/>
      <c r="AA21" s="14" t="n"/>
      <c r="AB21" s="14" t="n"/>
      <c r="AC21" s="12" t="n"/>
      <c r="AD21" s="12" t="n"/>
      <c r="AE21" s="12" t="n"/>
      <c r="AF21" s="12" t="n"/>
      <c r="AG21" s="12" t="n"/>
      <c r="AH21" s="126" t="n"/>
      <c r="AI21" s="121" t="n"/>
      <c r="AJ21" s="15" t="n"/>
      <c r="AK21" s="15" t="n"/>
      <c r="AL21" s="15" t="n"/>
      <c r="AM21" s="1" t="n"/>
      <c r="AN21" s="1" t="n"/>
      <c r="AO21" s="1" t="n"/>
      <c r="AP21" s="1" t="n"/>
      <c r="AQ21" s="1" t="n"/>
      <c r="AR21" s="1" t="n"/>
      <c r="AS21" s="1" t="n"/>
      <c r="AT21" s="1" t="n"/>
    </row>
    <row r="22" ht="240" customHeight="1" s="184">
      <c r="A22" s="12" t="n"/>
      <c r="B22" s="12" t="n"/>
      <c r="C22" s="12" t="n"/>
      <c r="D22" s="12" t="inlineStr">
        <is>
          <t>1.1.5.1</t>
        </is>
      </c>
      <c r="E22" s="77" t="inlineStr">
        <is>
          <t>Persentase Publikasi/Laporan Statistik Ketahanan Sosial yang Berkualitas</t>
        </is>
      </c>
      <c r="F22" s="199" t="n"/>
      <c r="G22" s="200" t="n"/>
      <c r="H22" s="13" t="inlineStr">
        <is>
          <t>IKU</t>
        </is>
      </c>
      <c r="I22" s="13" t="inlineStr">
        <is>
          <t>Tahunan</t>
        </is>
      </c>
      <c r="J22" s="13" t="inlineStr">
        <is>
          <t>%</t>
        </is>
      </c>
      <c r="K22" s="12">
        <f>IF(OR(K24=0,ISBLANK(K24)),0,K23/K24*100)</f>
        <v/>
      </c>
      <c r="L22" s="12" t="inlineStr">
        <is>
          <t>Persen</t>
        </is>
      </c>
      <c r="M22" s="12">
        <f>IF(OR(M24=0,ISBLANK(M24)),0,M23/M24*100)</f>
        <v/>
      </c>
      <c r="N22" s="12">
        <f>IF(OR(N24=0,ISBLANK(N24)),0,N23/N24*100)</f>
        <v/>
      </c>
      <c r="O22" s="12">
        <f>IF(OR(O24=0,ISBLANK(O24)),0,O23/O24*100)</f>
        <v/>
      </c>
      <c r="P22" s="12">
        <f>IF(OR(P24=0,ISBLANK(P24)),0,P23/P24*100)</f>
        <v/>
      </c>
      <c r="Q22" s="12">
        <f>IF(OR(Q24=0,ISBLANK(Q24)),0,Q23/Q24*100)</f>
        <v/>
      </c>
      <c r="R22" s="12">
        <f>IF(OR(R24=0,ISBLANK(R24)),0,R23/R24*100)</f>
        <v/>
      </c>
      <c r="S22" s="12">
        <f>IF(OR(S24=0,ISBLANK(S24)),0,S23/S24*100)</f>
        <v/>
      </c>
      <c r="T22" s="12">
        <f>IF(OR(T24=0,ISBLANK(T24)),0,T23/T24*100)</f>
        <v/>
      </c>
      <c r="U22" s="14">
        <f>IF(OR(M22=0, ISBLANK(M22)), 0, IF((Q22/M22*100)&gt;120,120,(Q22/M22*100)))</f>
        <v/>
      </c>
      <c r="V22" s="14">
        <f>IF(OR(N22=0, ISBLANK(N22)), 0, IF((R22/N22*100)&gt;120,120,(R22/N22*100)))</f>
        <v/>
      </c>
      <c r="W22" s="14">
        <f>IF(OR(O22=0, ISBLANK(O22)), 0, IF((S22/O22*100)&gt;120,120,(S22/O22*100)))</f>
        <v/>
      </c>
      <c r="X22" s="14">
        <f>IF(OR(P22=0, ISBLANK(P22)), 0, IF((T22/P22*100)&gt;120,120,(T22/P22*100)))</f>
        <v/>
      </c>
      <c r="Y22" s="14">
        <f>IF(OR($K22=0, ISBLANK($K22)), 0, IF((Q22/$K22*100)&gt;120,120,(Q22/$K22*100)))</f>
        <v/>
      </c>
      <c r="Z22" s="14">
        <f>IF(OR($K22=0, ISBLANK($K22)), 0, IF((R22/$K22*100)&gt;120,120,(R22/$K22*100)))</f>
        <v/>
      </c>
      <c r="AA22" s="14">
        <f>IF(OR($K22=0, ISBLANK($K22)), 0, IF((S22/$K22*100)&gt;120,120,(S22/$K22*100)))</f>
        <v/>
      </c>
      <c r="AB22" s="14">
        <f>IF(OR($K22=0, ISBLANK($K22)), 0, IF((T22/$K22*100)&gt;120,120,(T22/$K22*100)))</f>
        <v/>
      </c>
      <c r="AC22" s="108" t="n"/>
      <c r="AD22" s="108" t="n"/>
      <c r="AE22" s="96" t="n"/>
      <c r="AF22" s="16" t="n"/>
      <c r="AG22" s="125" t="n"/>
      <c r="AH22" s="123" t="n"/>
      <c r="AI22" s="123" t="n"/>
      <c r="AJ22" s="120">
        <f>IF(AB22&gt;=110,"110",AB22)</f>
        <v/>
      </c>
      <c r="AK22" s="18">
        <f>IF(E$5="AA/Sangat Memuaskan","0%",IF(E$5="A/Memuaskan","0%",IF(E$5="BB/Sangat Baik","10%",IF(E$5="B/Baik","15%",IF(E$5="CC/Cukup (Memadai)","20%",IF(E$5="C/Kurang","30%","30%"))))))</f>
        <v/>
      </c>
      <c r="AL22" s="15">
        <f>AJ22*(100%-AK22)</f>
        <v/>
      </c>
      <c r="AM22" s="1" t="n"/>
      <c r="AN22" s="1" t="n"/>
      <c r="AO22" s="1" t="n"/>
      <c r="AP22" s="1" t="n"/>
      <c r="AQ22" s="1" t="n"/>
      <c r="AR22" s="1" t="n"/>
      <c r="AS22" s="1" t="n"/>
      <c r="AT22" s="1" t="n"/>
    </row>
    <row r="23" ht="15" customHeight="1" s="184">
      <c r="A23" s="12" t="n"/>
      <c r="B23" s="12" t="n"/>
      <c r="C23" s="12" t="n"/>
      <c r="D23" s="12" t="n"/>
      <c r="E23" s="77" t="inlineStr">
        <is>
          <t>X: Jumlah Publikasi/Laporan Statistik Ketahanan Sosial yang berkualitas</t>
        </is>
      </c>
      <c r="F23" s="199" t="n"/>
      <c r="G23" s="200" t="n"/>
      <c r="H23" s="13" t="n"/>
      <c r="I23" s="13" t="n"/>
      <c r="J23" s="13" t="n"/>
      <c r="K23" s="16" t="n">
        <v>5</v>
      </c>
      <c r="L23" s="13" t="n"/>
      <c r="M23" s="16" t="n">
        <v>0</v>
      </c>
      <c r="N23" s="16" t="n">
        <v>0</v>
      </c>
      <c r="O23" s="16" t="n">
        <v>0</v>
      </c>
      <c r="P23" s="16" t="n">
        <v>5</v>
      </c>
      <c r="Q23" s="16" t="n"/>
      <c r="R23" s="16" t="n"/>
      <c r="S23" s="16" t="n"/>
      <c r="T23" s="16" t="n"/>
      <c r="U23" s="19" t="n"/>
      <c r="V23" s="19" t="n"/>
      <c r="W23" s="19" t="n"/>
      <c r="X23" s="19" t="n"/>
      <c r="Y23" s="19" t="n"/>
      <c r="Z23" s="19" t="n"/>
      <c r="AA23" s="19" t="n"/>
      <c r="AB23" s="19" t="n"/>
      <c r="AC23" s="19" t="n"/>
      <c r="AD23" s="19" t="n"/>
      <c r="AE23" s="19" t="n"/>
      <c r="AF23" s="19" t="n"/>
      <c r="AG23" s="19" t="n"/>
      <c r="AH23" s="128" t="n"/>
      <c r="AI23" s="122" t="n"/>
      <c r="AJ23" s="19" t="n"/>
      <c r="AK23" s="19" t="n"/>
      <c r="AL23" s="19" t="n"/>
      <c r="AM23" s="1" t="n"/>
      <c r="AN23" s="1" t="n"/>
      <c r="AO23" s="1" t="n"/>
      <c r="AP23" s="1" t="n"/>
      <c r="AQ23" s="1" t="n"/>
      <c r="AR23" s="1" t="n"/>
      <c r="AS23" s="1" t="n"/>
      <c r="AT23" s="1" t="n"/>
    </row>
    <row r="24" ht="15" customHeight="1" s="184">
      <c r="A24" s="12" t="n"/>
      <c r="B24" s="12" t="n"/>
      <c r="C24" s="12" t="n"/>
      <c r="D24" s="12" t="n"/>
      <c r="E24" s="77" t="inlineStr">
        <is>
          <t>Y: Jumlah seluruh Publikasi/Laporan Statistik Ketahanan Sosial yang dihasilkan</t>
        </is>
      </c>
      <c r="F24" s="199" t="n"/>
      <c r="G24" s="200" t="n"/>
      <c r="H24" s="13" t="n"/>
      <c r="I24" s="13" t="n"/>
      <c r="J24" s="13" t="n"/>
      <c r="K24" s="16" t="n">
        <v>5</v>
      </c>
      <c r="L24" s="13" t="n"/>
      <c r="M24" s="16" t="n">
        <v>0</v>
      </c>
      <c r="N24" s="16" t="n">
        <v>0</v>
      </c>
      <c r="O24" s="16" t="n">
        <v>0</v>
      </c>
      <c r="P24" s="16" t="n">
        <v>5</v>
      </c>
      <c r="Q24" s="16" t="n"/>
      <c r="R24" s="16" t="n"/>
      <c r="S24" s="16" t="n"/>
      <c r="T24" s="16" t="n"/>
      <c r="U24" s="19" t="n"/>
      <c r="V24" s="19" t="n"/>
      <c r="W24" s="19" t="n"/>
      <c r="X24" s="19" t="n"/>
      <c r="Y24" s="19" t="n"/>
      <c r="Z24" s="19" t="n"/>
      <c r="AA24" s="19" t="n"/>
      <c r="AB24" s="19" t="n"/>
      <c r="AC24" s="19" t="n"/>
      <c r="AD24" s="19" t="n"/>
      <c r="AE24" s="19" t="n"/>
      <c r="AF24" s="19" t="n"/>
      <c r="AG24" s="19" t="n"/>
      <c r="AH24" s="118" t="n"/>
      <c r="AI24" s="19" t="n"/>
      <c r="AJ24" s="19" t="n"/>
      <c r="AK24" s="19" t="n"/>
      <c r="AL24" s="19" t="n"/>
      <c r="AM24" s="1" t="n"/>
      <c r="AN24" s="1" t="n"/>
      <c r="AO24" s="1" t="n"/>
      <c r="AP24" s="1" t="n"/>
      <c r="AQ24" s="1" t="n"/>
      <c r="AR24" s="1" t="n"/>
      <c r="AS24" s="1" t="n"/>
      <c r="AT24" s="1" t="n"/>
    </row>
    <row r="25" ht="14.25" customHeight="1" s="184">
      <c r="A25" s="12" t="n"/>
      <c r="B25" s="12" t="n"/>
      <c r="C25" s="12" t="n"/>
      <c r="D25" s="12" t="n"/>
      <c r="E25" s="12" t="n"/>
      <c r="F25" s="12" t="n"/>
      <c r="G25" s="12" t="n"/>
      <c r="H25" s="13" t="n"/>
      <c r="I25" s="13" t="n"/>
      <c r="J25" s="13" t="n"/>
      <c r="K25" s="12" t="n"/>
      <c r="L25" s="12" t="n"/>
      <c r="M25" s="12" t="n"/>
      <c r="N25" s="12" t="n"/>
      <c r="O25" s="12" t="n"/>
      <c r="P25" s="12" t="n"/>
      <c r="Q25" s="12" t="n"/>
      <c r="R25" s="12" t="n"/>
      <c r="S25" s="12" t="n"/>
      <c r="T25" s="20" t="n"/>
      <c r="U25" s="14" t="n"/>
      <c r="V25" s="14" t="n"/>
      <c r="W25" s="21" t="n"/>
      <c r="X25" s="14" t="n"/>
      <c r="Y25" s="12" t="n"/>
      <c r="Z25" s="12" t="n"/>
      <c r="AA25" s="12" t="n"/>
      <c r="AB25" s="12" t="n"/>
      <c r="AC25" s="12" t="n"/>
      <c r="AD25" s="12" t="n"/>
      <c r="AE25" s="12" t="n"/>
      <c r="AF25" s="12" t="n"/>
      <c r="AG25" s="12" t="n"/>
      <c r="AH25" s="119" t="n"/>
      <c r="AI25" s="12" t="n"/>
      <c r="AJ25" s="12" t="n"/>
      <c r="AK25" s="12" t="n"/>
      <c r="AL25" s="12" t="n"/>
      <c r="AM25" s="1" t="n"/>
      <c r="AN25" s="1" t="n"/>
      <c r="AO25" s="1" t="n"/>
      <c r="AP25" s="1" t="n"/>
      <c r="AQ25" s="1" t="n"/>
      <c r="AR25" s="1" t="n"/>
      <c r="AS25" s="1" t="n"/>
      <c r="AT25" s="1" t="n"/>
    </row>
    <row r="26" ht="15" customHeight="1" s="184">
      <c r="A26" s="12" t="n"/>
      <c r="B26" s="12" t="inlineStr">
        <is>
          <t>1.2.1</t>
        </is>
      </c>
      <c r="C26" s="210" t="inlineStr">
        <is>
          <t>Terwujudnya Penyediaan Data dan Insight Statistik Sumber Daya Hayati yang Berkualitas</t>
        </is>
      </c>
      <c r="D26" s="199" t="n"/>
      <c r="E26" s="199" t="n"/>
      <c r="F26" s="199" t="n"/>
      <c r="G26" s="200" t="n"/>
      <c r="H26" s="13" t="n"/>
      <c r="I26" s="13" t="n"/>
      <c r="J26" s="13" t="n"/>
      <c r="K26" s="12" t="n"/>
      <c r="L26" s="12" t="n"/>
      <c r="M26" s="12" t="n"/>
      <c r="N26" s="12" t="n"/>
      <c r="O26" s="12" t="n"/>
      <c r="P26" s="12" t="n"/>
      <c r="Q26" s="12" t="n"/>
      <c r="R26" s="12" t="n"/>
      <c r="S26" s="12" t="n"/>
      <c r="T26" s="12" t="n"/>
      <c r="U26" s="14" t="n"/>
      <c r="V26" s="14" t="n"/>
      <c r="W26" s="14" t="n"/>
      <c r="X26" s="14" t="n"/>
      <c r="Y26" s="14" t="n"/>
      <c r="Z26" s="14" t="n"/>
      <c r="AA26" s="14" t="n"/>
      <c r="AB26" s="14" t="n"/>
      <c r="AC26" s="12" t="n"/>
      <c r="AD26" s="12" t="n"/>
      <c r="AE26" s="12" t="n"/>
      <c r="AF26" s="12" t="n"/>
      <c r="AG26" s="12" t="n"/>
      <c r="AH26" s="126" t="n"/>
      <c r="AI26" s="121" t="n"/>
      <c r="AJ26" s="15" t="n"/>
      <c r="AK26" s="15" t="n"/>
      <c r="AL26" s="15" t="n"/>
      <c r="AM26" s="1" t="n"/>
      <c r="AN26" s="1" t="n"/>
      <c r="AO26" s="1" t="n"/>
      <c r="AP26" s="1" t="n"/>
      <c r="AQ26" s="1" t="n"/>
      <c r="AR26" s="1" t="n"/>
      <c r="AS26" s="1" t="n"/>
      <c r="AT26" s="1" t="n"/>
    </row>
    <row r="27" ht="335.25" customHeight="1" s="184">
      <c r="A27" s="12" t="n"/>
      <c r="B27" s="12" t="n"/>
      <c r="C27" s="12" t="n"/>
      <c r="D27" s="12" t="inlineStr">
        <is>
          <t>1.2.1.1</t>
        </is>
      </c>
      <c r="E27" s="210" t="inlineStr">
        <is>
          <t>Persentase Publikasi/Laporan Statistik Sumber Daya Hayati yang Berkualitas</t>
        </is>
      </c>
      <c r="F27" s="199" t="n"/>
      <c r="G27" s="200" t="n"/>
      <c r="H27" s="13" t="inlineStr">
        <is>
          <t>IKU</t>
        </is>
      </c>
      <c r="I27" s="13" t="inlineStr">
        <is>
          <t>Tahunan</t>
        </is>
      </c>
      <c r="J27" s="13" t="inlineStr">
        <is>
          <t>%</t>
        </is>
      </c>
      <c r="K27" s="12">
        <f>IF(OR(K29=0,ISBLANK(K29)),0,K28/K29*100)</f>
        <v/>
      </c>
      <c r="L27" s="12" t="inlineStr">
        <is>
          <t>Persen</t>
        </is>
      </c>
      <c r="M27" s="12">
        <f>IF(OR(M29=0,ISBLANK(M29)),0,M28/M29*100)</f>
        <v/>
      </c>
      <c r="N27" s="12">
        <f>IF(OR(N29=0,ISBLANK(N29)),0,N28/N29*100)</f>
        <v/>
      </c>
      <c r="O27" s="12">
        <f>IF(OR(O29=0,ISBLANK(O29)),0,O28/O29*100)</f>
        <v/>
      </c>
      <c r="P27" s="12">
        <f>IF(OR(P29=0,ISBLANK(P29)),0,P28/P29*100)</f>
        <v/>
      </c>
      <c r="Q27" s="12">
        <f>IF(OR(Q29=0,ISBLANK(Q29)),0,Q28/Q29*100)</f>
        <v/>
      </c>
      <c r="R27" s="12">
        <f>IF(OR(R29=0,ISBLANK(R29)),0,R28/R29*100)</f>
        <v/>
      </c>
      <c r="S27" s="12">
        <f>IF(OR(S29=0,ISBLANK(S29)),0,S28/S29*100)</f>
        <v/>
      </c>
      <c r="T27" s="12">
        <f>IF(OR(T29=0,ISBLANK(T29)),0,T28/T29*100)</f>
        <v/>
      </c>
      <c r="U27" s="14">
        <f>IF(OR(M27=0, ISBLANK(M27)), 0, IF((Q27/M27*100)&gt;120,120,(Q27/M27*100)))</f>
        <v/>
      </c>
      <c r="V27" s="14">
        <f>IF(OR(N27=0, ISBLANK(N27)), 0, IF((R27/N27*100)&gt;120,120,(R27/N27*100)))</f>
        <v/>
      </c>
      <c r="W27" s="14">
        <f>IF(OR(O27=0, ISBLANK(O27)), 0, IF((S27/O27*100)&gt;120,120,(S27/O27*100)))</f>
        <v/>
      </c>
      <c r="X27" s="14">
        <f>IF(OR(P27=0, ISBLANK(P27)), 0, IF((T27/P27*100)&gt;120,120,(T27/P27*100)))</f>
        <v/>
      </c>
      <c r="Y27" s="14">
        <f>IF(OR($K27=0, ISBLANK($K27)), 0, IF((Q27/$K27*100)&gt;120,120,(Q27/$K27*100)))</f>
        <v/>
      </c>
      <c r="Z27" s="14">
        <f>IF(OR($K27=0, ISBLANK($K27)), 0, IF((R27/$K27*100)&gt;120,120,(R27/$K27*100)))</f>
        <v/>
      </c>
      <c r="AA27" s="14">
        <f>IF(OR($K27=0, ISBLANK($K27)), 0, IF((S27/$K27*100)&gt;120,120,(S27/$K27*100)))</f>
        <v/>
      </c>
      <c r="AB27" s="14">
        <f>IF(OR($K27=0, ISBLANK($K27)), 0, IF((T27/$K27*100)&gt;120,120,(T27/$K27*100)))</f>
        <v/>
      </c>
      <c r="AC27" s="89" t="n"/>
      <c r="AD27" s="92" t="n"/>
      <c r="AE27" s="92" t="n"/>
      <c r="AF27" s="16" t="n"/>
      <c r="AG27" s="124" t="n"/>
      <c r="AH27" s="123" t="n"/>
      <c r="AI27" s="123" t="n"/>
      <c r="AJ27" s="120">
        <f>IF(AB27&gt;=110,"110",AB27)</f>
        <v/>
      </c>
      <c r="AK27" s="18">
        <f>IF(E$5="AA/Sangat Memuaskan","0%",IF(E$5="A/Memuaskan","0%",IF(E$5="BB/Sangat Baik","10%",IF(E$5="B/Baik","15%",IF(E$5="CC/Cukup (Memadai)","20%",IF(E$5="C/Kurang","30%","30%"))))))</f>
        <v/>
      </c>
      <c r="AL27" s="15">
        <f>AJ27*(100%-AK27)</f>
        <v/>
      </c>
      <c r="AM27" s="1" t="n"/>
      <c r="AN27" s="1" t="n"/>
      <c r="AO27" s="1" t="n"/>
      <c r="AP27" s="1" t="n"/>
      <c r="AQ27" s="1" t="n"/>
      <c r="AR27" s="1" t="n"/>
      <c r="AS27" s="1" t="n"/>
      <c r="AT27" s="1" t="n"/>
    </row>
    <row r="28" ht="15" customHeight="1" s="184">
      <c r="A28" s="12" t="n"/>
      <c r="B28" s="12" t="n"/>
      <c r="C28" s="12" t="n"/>
      <c r="D28" s="12" t="n"/>
      <c r="E28" s="210" t="inlineStr">
        <is>
          <t>X: Jumlah Publikasi/Laporan Statistik Sumber Daya Hayati yang berkualitas</t>
        </is>
      </c>
      <c r="F28" s="199" t="n"/>
      <c r="G28" s="200" t="n"/>
      <c r="H28" s="13" t="n"/>
      <c r="I28" s="13" t="n"/>
      <c r="J28" s="13" t="n"/>
      <c r="K28" s="16" t="n">
        <v>7</v>
      </c>
      <c r="L28" s="13" t="n"/>
      <c r="M28" s="16" t="n">
        <v>0</v>
      </c>
      <c r="N28" s="16" t="n">
        <v>0</v>
      </c>
      <c r="O28" s="16" t="n">
        <v>0</v>
      </c>
      <c r="P28" s="16" t="n">
        <v>7</v>
      </c>
      <c r="Q28" s="16" t="n"/>
      <c r="R28" s="16" t="n"/>
      <c r="S28" s="16" t="n"/>
      <c r="T28" s="16" t="n"/>
      <c r="U28" s="19" t="n"/>
      <c r="V28" s="19" t="n"/>
      <c r="W28" s="19" t="n"/>
      <c r="X28" s="19" t="n"/>
      <c r="Y28" s="19" t="n"/>
      <c r="Z28" s="19" t="n"/>
      <c r="AA28" s="19" t="n"/>
      <c r="AB28" s="19" t="n"/>
      <c r="AC28" s="19" t="n"/>
      <c r="AD28" s="19" t="n"/>
      <c r="AE28" s="19" t="n"/>
      <c r="AF28" s="19" t="n"/>
      <c r="AG28" s="19" t="n"/>
      <c r="AH28" s="128" t="n"/>
      <c r="AI28" s="122" t="n"/>
      <c r="AJ28" s="19" t="n"/>
      <c r="AK28" s="19" t="n"/>
      <c r="AL28" s="19" t="n"/>
      <c r="AM28" s="1" t="n"/>
      <c r="AN28" s="1" t="n"/>
      <c r="AO28" s="1" t="n"/>
      <c r="AP28" s="1" t="n"/>
      <c r="AQ28" s="1" t="n"/>
      <c r="AR28" s="1" t="n"/>
      <c r="AS28" s="1" t="n"/>
      <c r="AT28" s="1" t="n"/>
    </row>
    <row r="29" ht="32.25" customHeight="1" s="184">
      <c r="A29" s="12" t="n"/>
      <c r="B29" s="12" t="n"/>
      <c r="C29" s="12" t="n"/>
      <c r="D29" s="12" t="n"/>
      <c r="E29" s="210" t="inlineStr">
        <is>
          <t>Y: Jumlah seluruh Publikasi/Laporan Statistik Sumber Daya Hayati yang dihasilkan</t>
        </is>
      </c>
      <c r="F29" s="199" t="n"/>
      <c r="G29" s="200" t="n"/>
      <c r="H29" s="13" t="n"/>
      <c r="I29" s="13" t="n"/>
      <c r="J29" s="13" t="n"/>
      <c r="K29" s="16" t="n">
        <v>7</v>
      </c>
      <c r="L29" s="13" t="n"/>
      <c r="M29" s="16" t="n">
        <v>7</v>
      </c>
      <c r="N29" s="16" t="n">
        <v>7</v>
      </c>
      <c r="O29" s="16" t="n">
        <v>7</v>
      </c>
      <c r="P29" s="16" t="n">
        <v>7</v>
      </c>
      <c r="Q29" s="16" t="n"/>
      <c r="R29" s="16" t="n"/>
      <c r="S29" s="16" t="n"/>
      <c r="T29" s="16" t="n"/>
      <c r="U29" s="19" t="n"/>
      <c r="V29" s="19" t="n"/>
      <c r="W29" s="19" t="n"/>
      <c r="X29" s="19" t="n"/>
      <c r="Y29" s="19" t="n"/>
      <c r="Z29" s="19" t="n"/>
      <c r="AA29" s="19" t="n"/>
      <c r="AB29" s="19" t="n"/>
      <c r="AC29" s="19" t="n"/>
      <c r="AD29" s="19" t="n"/>
      <c r="AE29" s="19" t="n"/>
      <c r="AF29" s="19" t="n"/>
      <c r="AG29" s="19" t="n"/>
      <c r="AH29" s="118" t="n"/>
      <c r="AI29" s="19" t="n"/>
      <c r="AJ29" s="19" t="n"/>
      <c r="AK29" s="19" t="n"/>
      <c r="AL29" s="19" t="n"/>
      <c r="AM29" s="1" t="n"/>
      <c r="AN29" s="1" t="n"/>
      <c r="AO29" s="1" t="n"/>
      <c r="AP29" s="1" t="n"/>
      <c r="AQ29" s="1" t="n"/>
      <c r="AR29" s="1" t="n"/>
      <c r="AS29" s="1" t="n"/>
      <c r="AT29" s="1" t="n"/>
    </row>
    <row r="30" ht="14.25" customHeight="1" s="184">
      <c r="A30" s="12" t="n"/>
      <c r="B30" s="12" t="n"/>
      <c r="C30" s="12" t="n"/>
      <c r="D30" s="12" t="n"/>
      <c r="E30" s="12" t="n"/>
      <c r="F30" s="12" t="n"/>
      <c r="G30" s="12" t="n"/>
      <c r="H30" s="13" t="n"/>
      <c r="I30" s="13" t="n"/>
      <c r="J30" s="13" t="n"/>
      <c r="K30" s="12" t="n"/>
      <c r="L30" s="12" t="n"/>
      <c r="M30" s="12" t="n"/>
      <c r="N30" s="12" t="n"/>
      <c r="O30" s="12" t="n"/>
      <c r="P30" s="12" t="n"/>
      <c r="Q30" s="12" t="n"/>
      <c r="R30" s="12" t="n"/>
      <c r="S30" s="12" t="n"/>
      <c r="T30" s="20" t="n"/>
      <c r="U30" s="14" t="n"/>
      <c r="V30" s="14" t="n"/>
      <c r="W30" s="21" t="n"/>
      <c r="X30" s="14" t="n"/>
      <c r="Y30" s="12" t="n"/>
      <c r="Z30" s="12" t="n"/>
      <c r="AA30" s="12" t="n"/>
      <c r="AB30" s="12" t="n"/>
      <c r="AC30" s="12" t="n"/>
      <c r="AD30" s="12" t="n"/>
      <c r="AE30" s="12" t="n"/>
      <c r="AF30" s="12" t="n"/>
      <c r="AG30" s="12" t="n"/>
      <c r="AH30" s="119" t="n"/>
      <c r="AI30" s="12" t="n"/>
      <c r="AJ30" s="12" t="n"/>
      <c r="AK30" s="12" t="n"/>
      <c r="AL30" s="12" t="n"/>
      <c r="AM30" s="1" t="n"/>
      <c r="AN30" s="1" t="n"/>
      <c r="AO30" s="1" t="n"/>
      <c r="AP30" s="1" t="n"/>
      <c r="AQ30" s="1" t="n"/>
      <c r="AR30" s="1" t="n"/>
      <c r="AS30" s="1" t="n"/>
      <c r="AT30" s="1" t="n"/>
    </row>
    <row r="31" ht="35.25" customHeight="1" s="184">
      <c r="A31" s="12" t="n"/>
      <c r="B31" s="12" t="inlineStr">
        <is>
          <t>1.2.2</t>
        </is>
      </c>
      <c r="C31" s="210" t="inlineStr">
        <is>
          <t>Terwujudnya Penyediaan Data dan Insight Statistik Sumber Daya Mineral dan Konstruksi yang Berkualitas</t>
        </is>
      </c>
      <c r="D31" s="199" t="n"/>
      <c r="E31" s="199" t="n"/>
      <c r="F31" s="199" t="n"/>
      <c r="G31" s="200" t="n"/>
      <c r="H31" s="13" t="n"/>
      <c r="I31" s="13" t="n"/>
      <c r="J31" s="13" t="n"/>
      <c r="K31" s="12" t="n"/>
      <c r="L31" s="12" t="n"/>
      <c r="M31" s="12" t="n"/>
      <c r="N31" s="12" t="n"/>
      <c r="O31" s="12" t="n"/>
      <c r="P31" s="12" t="n"/>
      <c r="Q31" s="12" t="n"/>
      <c r="R31" s="12" t="n"/>
      <c r="S31" s="12" t="n"/>
      <c r="T31" s="12" t="n"/>
      <c r="U31" s="14" t="n"/>
      <c r="V31" s="14" t="n"/>
      <c r="W31" s="14" t="n"/>
      <c r="X31" s="14" t="n"/>
      <c r="Y31" s="14" t="n"/>
      <c r="Z31" s="14" t="n"/>
      <c r="AA31" s="14" t="n"/>
      <c r="AB31" s="14" t="n"/>
      <c r="AC31" s="12" t="n"/>
      <c r="AD31" s="12" t="n"/>
      <c r="AE31" s="12" t="n"/>
      <c r="AF31" s="12" t="n"/>
      <c r="AG31" s="12" t="n"/>
      <c r="AH31" s="126" t="n"/>
      <c r="AI31" s="121" t="n"/>
      <c r="AJ31" s="15" t="n"/>
      <c r="AK31" s="15" t="n"/>
      <c r="AL31" s="15" t="n"/>
      <c r="AM31" s="1" t="n"/>
      <c r="AN31" s="1" t="n"/>
      <c r="AO31" s="1" t="n"/>
      <c r="AP31" s="1" t="n"/>
      <c r="AQ31" s="1" t="n"/>
      <c r="AR31" s="1" t="n"/>
      <c r="AS31" s="1" t="n"/>
      <c r="AT31" s="1" t="n"/>
    </row>
    <row r="32" ht="129.75" customHeight="1" s="184">
      <c r="A32" s="12" t="n"/>
      <c r="B32" s="12" t="n"/>
      <c r="C32" s="12" t="n"/>
      <c r="D32" s="12" t="inlineStr">
        <is>
          <t>1.2.2.1</t>
        </is>
      </c>
      <c r="E32" s="210" t="inlineStr">
        <is>
          <t>Persentase publikasi/laporan Statistik Sumber Daya Mineral dan Konstruksi yang Berkualitas</t>
        </is>
      </c>
      <c r="F32" s="199" t="n"/>
      <c r="G32" s="200" t="n"/>
      <c r="H32" s="13" t="inlineStr">
        <is>
          <t>IKU</t>
        </is>
      </c>
      <c r="I32" s="13" t="inlineStr">
        <is>
          <t>Tahunan</t>
        </is>
      </c>
      <c r="J32" s="13" t="inlineStr">
        <is>
          <t>%</t>
        </is>
      </c>
      <c r="K32" s="12">
        <f>IF(OR(K34=0,ISBLANK(K34)),0,K33/K34*100)</f>
        <v/>
      </c>
      <c r="L32" s="12" t="inlineStr">
        <is>
          <t>Persen</t>
        </is>
      </c>
      <c r="M32" s="12">
        <f>IF(OR(M34=0,ISBLANK(M34)),0,M33/M34*100)</f>
        <v/>
      </c>
      <c r="N32" s="12">
        <f>IF(OR(N34=0,ISBLANK(N34)),0,N33/N34*100)</f>
        <v/>
      </c>
      <c r="O32" s="12">
        <f>IF(OR(O34=0,ISBLANK(O34)),0,O33/O34*100)</f>
        <v/>
      </c>
      <c r="P32" s="12">
        <f>IF(OR(P34=0,ISBLANK(P34)),0,P33/P34*100)</f>
        <v/>
      </c>
      <c r="Q32" s="12">
        <f>IF(OR(Q34=0,ISBLANK(Q34)),0,Q33/Q34*100)</f>
        <v/>
      </c>
      <c r="R32" s="12">
        <f>IF(OR(R34=0,ISBLANK(R34)),0,R33/R34*100)</f>
        <v/>
      </c>
      <c r="S32" s="12">
        <f>IF(OR(S34=0,ISBLANK(S34)),0,S33/S34*100)</f>
        <v/>
      </c>
      <c r="T32" s="12">
        <f>IF(OR(T34=0,ISBLANK(T34)),0,T33/T34*100)</f>
        <v/>
      </c>
      <c r="U32" s="14">
        <f>IF(OR(M32=0, ISBLANK(M32)), 0, IF((Q32/M32*100)&gt;120,120,(Q32/M32*100)))</f>
        <v/>
      </c>
      <c r="V32" s="14">
        <f>IF(OR(N32=0, ISBLANK(N32)), 0, IF((R32/N32*100)&gt;120,120,(R32/N32*100)))</f>
        <v/>
      </c>
      <c r="W32" s="14">
        <f>IF(OR(O32=0, ISBLANK(O32)), 0, IF((S32/O32*100)&gt;120,120,(S32/O32*100)))</f>
        <v/>
      </c>
      <c r="X32" s="14">
        <f>IF(OR(P32=0, ISBLANK(P32)), 0, IF((T32/P32*100)&gt;120,120,(T32/P32*100)))</f>
        <v/>
      </c>
      <c r="Y32" s="14">
        <f>IF(OR($K32=0, ISBLANK($K32)), 0, IF((Q32/$K32*100)&gt;120,120,(Q32/$K32*100)))</f>
        <v/>
      </c>
      <c r="Z32" s="14">
        <f>IF(OR($K32=0, ISBLANK($K32)), 0, IF((R32/$K32*100)&gt;120,120,(R32/$K32*100)))</f>
        <v/>
      </c>
      <c r="AA32" s="14">
        <f>IF(OR($K32=0, ISBLANK($K32)), 0, IF((S32/$K32*100)&gt;120,120,(S32/$K32*100)))</f>
        <v/>
      </c>
      <c r="AB32" s="14">
        <f>IF(OR($K32=0, ISBLANK($K32)), 0, IF((T32/$K32*100)&gt;120,120,(T32/$K32*100)))</f>
        <v/>
      </c>
      <c r="AC32" s="90" t="n"/>
      <c r="AD32" s="91" t="n"/>
      <c r="AE32" s="93" t="n"/>
      <c r="AF32" s="16" t="n"/>
      <c r="AG32" s="129" t="n"/>
      <c r="AH32" s="123" t="n"/>
      <c r="AI32" s="123" t="n"/>
      <c r="AJ32" s="120">
        <f>IF(AB32&gt;=110,"110",AB32)</f>
        <v/>
      </c>
      <c r="AK32" s="18">
        <f>IF(E$5="AA/Sangat Memuaskan","0%",IF(E$5="A/Memuaskan","0%",IF(E$5="BB/Sangat Baik","10%",IF(E$5="B/Baik","15%",IF(E$5="CC/Cukup (Memadai)","20%",IF(E$5="C/Kurang","30%","30%"))))))</f>
        <v/>
      </c>
      <c r="AL32" s="15">
        <f>AJ32*(100%-AK32)</f>
        <v/>
      </c>
      <c r="AM32" s="1" t="n"/>
      <c r="AN32" s="1" t="n"/>
      <c r="AO32" s="1" t="n"/>
      <c r="AP32" s="1" t="n"/>
      <c r="AQ32" s="1" t="n"/>
      <c r="AR32" s="1" t="n"/>
      <c r="AS32" s="1" t="n"/>
      <c r="AT32" s="1" t="n"/>
    </row>
    <row r="33" ht="32.25" customHeight="1" s="184">
      <c r="A33" s="12" t="n"/>
      <c r="B33" s="12" t="n"/>
      <c r="C33" s="12" t="n"/>
      <c r="D33" s="12" t="n"/>
      <c r="E33" s="210" t="inlineStr">
        <is>
          <t>X: Jumlah Publikasi/Laporan Statistik Sumber Daya Mineral dan Konstruksi yang berkualitas</t>
        </is>
      </c>
      <c r="F33" s="199" t="n"/>
      <c r="G33" s="200" t="n"/>
      <c r="H33" s="13" t="n"/>
      <c r="I33" s="13" t="n"/>
      <c r="J33" s="13" t="n"/>
      <c r="K33" s="16" t="n">
        <v>3</v>
      </c>
      <c r="L33" s="13" t="n"/>
      <c r="M33" s="16" t="n"/>
      <c r="N33" s="16" t="n"/>
      <c r="O33" s="16" t="n"/>
      <c r="P33" s="16" t="n"/>
      <c r="Q33" s="16" t="n"/>
      <c r="R33" s="16" t="n"/>
      <c r="S33" s="16" t="n"/>
      <c r="T33" s="16" t="n"/>
      <c r="U33" s="19" t="n"/>
      <c r="V33" s="19" t="n"/>
      <c r="W33" s="19" t="n"/>
      <c r="X33" s="19" t="n"/>
      <c r="Y33" s="19" t="n"/>
      <c r="Z33" s="19" t="n"/>
      <c r="AA33" s="19" t="n"/>
      <c r="AB33" s="19" t="n"/>
      <c r="AC33" s="19" t="n"/>
      <c r="AD33" s="19" t="n"/>
      <c r="AE33" s="19" t="n"/>
      <c r="AF33" s="19" t="n"/>
      <c r="AG33" s="19" t="n"/>
      <c r="AH33" s="128" t="n"/>
      <c r="AI33" s="122" t="n"/>
      <c r="AJ33" s="19" t="n"/>
      <c r="AK33" s="19" t="n"/>
      <c r="AL33" s="19" t="n"/>
      <c r="AM33" s="1" t="n"/>
      <c r="AN33" s="1" t="n"/>
      <c r="AO33" s="1" t="n"/>
      <c r="AP33" s="1" t="n"/>
      <c r="AQ33" s="1" t="n"/>
      <c r="AR33" s="1" t="n"/>
      <c r="AS33" s="1" t="n"/>
      <c r="AT33" s="1" t="n"/>
    </row>
    <row r="34" ht="33" customHeight="1" s="184">
      <c r="A34" s="12" t="n"/>
      <c r="B34" s="12" t="n"/>
      <c r="C34" s="12" t="n"/>
      <c r="D34" s="12" t="n"/>
      <c r="E34" s="210" t="inlineStr">
        <is>
          <t>Y: Jumlah seluruh Publikasi/Laporan Statistik Sumber Daya Mineral dan Konstruksi yang dihasilkan yang dihasilkan</t>
        </is>
      </c>
      <c r="F34" s="199" t="n"/>
      <c r="G34" s="200" t="n"/>
      <c r="H34" s="13" t="n"/>
      <c r="I34" s="13" t="n"/>
      <c r="J34" s="13" t="n"/>
      <c r="K34" s="16" t="n">
        <v>3</v>
      </c>
      <c r="L34" s="13" t="n"/>
      <c r="M34" s="16" t="n"/>
      <c r="N34" s="16" t="n"/>
      <c r="O34" s="16" t="n"/>
      <c r="P34" s="16" t="n"/>
      <c r="Q34" s="16" t="n"/>
      <c r="R34" s="16" t="n"/>
      <c r="S34" s="16" t="n"/>
      <c r="T34" s="16" t="n"/>
      <c r="U34" s="19" t="n"/>
      <c r="V34" s="19" t="n"/>
      <c r="W34" s="19" t="n"/>
      <c r="X34" s="19" t="n"/>
      <c r="Y34" s="19" t="n"/>
      <c r="Z34" s="19" t="n"/>
      <c r="AA34" s="19" t="n"/>
      <c r="AB34" s="19" t="n"/>
      <c r="AC34" s="19" t="n"/>
      <c r="AD34" s="19" t="n"/>
      <c r="AE34" s="19" t="n"/>
      <c r="AF34" s="19" t="n"/>
      <c r="AG34" s="19" t="n"/>
      <c r="AH34" s="118" t="n"/>
      <c r="AI34" s="19" t="n"/>
      <c r="AJ34" s="19" t="n"/>
      <c r="AK34" s="19" t="n"/>
      <c r="AL34" s="19" t="n"/>
      <c r="AM34" s="1" t="n"/>
      <c r="AN34" s="1" t="n"/>
      <c r="AO34" s="1" t="n"/>
      <c r="AP34" s="1" t="n"/>
      <c r="AQ34" s="1" t="n"/>
      <c r="AR34" s="1" t="n"/>
      <c r="AS34" s="1" t="n"/>
      <c r="AT34" s="1" t="n"/>
    </row>
    <row r="35" ht="14.25" customHeight="1" s="184">
      <c r="A35" s="12" t="n"/>
      <c r="B35" s="12" t="n"/>
      <c r="C35" s="12" t="n"/>
      <c r="D35" s="12" t="n"/>
      <c r="E35" s="12" t="n"/>
      <c r="F35" s="12" t="n"/>
      <c r="G35" s="12" t="n"/>
      <c r="H35" s="13" t="n"/>
      <c r="I35" s="13" t="n"/>
      <c r="J35" s="13" t="n"/>
      <c r="K35" s="12" t="n"/>
      <c r="L35" s="12" t="n"/>
      <c r="M35" s="12" t="n"/>
      <c r="N35" s="12" t="n"/>
      <c r="O35" s="12" t="n"/>
      <c r="P35" s="12" t="n"/>
      <c r="Q35" s="12" t="n"/>
      <c r="R35" s="12" t="n"/>
      <c r="S35" s="12" t="n"/>
      <c r="T35" s="20" t="n"/>
      <c r="U35" s="14" t="n"/>
      <c r="V35" s="14" t="n"/>
      <c r="W35" s="21" t="n"/>
      <c r="X35" s="14" t="n"/>
      <c r="Y35" s="12" t="n"/>
      <c r="Z35" s="12" t="n"/>
      <c r="AA35" s="12" t="n"/>
      <c r="AB35" s="12" t="n"/>
      <c r="AC35" s="12" t="n"/>
      <c r="AD35" s="12" t="n"/>
      <c r="AE35" s="12" t="n"/>
      <c r="AF35" s="12" t="n"/>
      <c r="AG35" s="12" t="n"/>
      <c r="AH35" s="119" t="n"/>
      <c r="AI35" s="12" t="n"/>
      <c r="AJ35" s="12" t="n"/>
      <c r="AK35" s="12" t="n"/>
      <c r="AL35" s="12" t="n"/>
      <c r="AM35" s="1" t="n"/>
      <c r="AN35" s="1" t="n"/>
      <c r="AO35" s="1" t="n"/>
      <c r="AP35" s="1" t="n"/>
      <c r="AQ35" s="1" t="n"/>
      <c r="AR35" s="1" t="n"/>
      <c r="AS35" s="1" t="n"/>
      <c r="AT35" s="1" t="n"/>
    </row>
    <row r="36" ht="14.25" customHeight="1" s="184">
      <c r="A36" s="12" t="n"/>
      <c r="B36" s="12" t="inlineStr">
        <is>
          <t>1.2.3</t>
        </is>
      </c>
      <c r="C36" s="12" t="inlineStr">
        <is>
          <t>Terwujudnya penyediaan Data dan Insight Statistik Industri yang Berkualitas</t>
        </is>
      </c>
      <c r="D36" s="12" t="n"/>
      <c r="E36" s="12" t="n"/>
      <c r="F36" s="12" t="n"/>
      <c r="G36" s="12" t="n"/>
      <c r="H36" s="13" t="n"/>
      <c r="I36" s="13" t="n"/>
      <c r="J36" s="13" t="n"/>
      <c r="K36" s="12" t="n"/>
      <c r="L36" s="12" t="n"/>
      <c r="M36" s="12" t="n"/>
      <c r="N36" s="12" t="n"/>
      <c r="O36" s="12" t="n"/>
      <c r="P36" s="12" t="n"/>
      <c r="Q36" s="12" t="n"/>
      <c r="R36" s="12" t="n"/>
      <c r="S36" s="12" t="n"/>
      <c r="T36" s="12" t="n"/>
      <c r="U36" s="14" t="n"/>
      <c r="V36" s="14" t="n"/>
      <c r="W36" s="14" t="n"/>
      <c r="X36" s="14" t="n"/>
      <c r="Y36" s="14" t="n"/>
      <c r="Z36" s="14" t="n"/>
      <c r="AA36" s="14" t="n"/>
      <c r="AB36" s="14" t="n"/>
      <c r="AC36" s="12" t="n"/>
      <c r="AD36" s="12" t="n"/>
      <c r="AE36" s="12" t="n"/>
      <c r="AF36" s="12" t="n"/>
      <c r="AG36" s="12" t="n"/>
      <c r="AH36" s="126" t="n"/>
      <c r="AI36" s="121" t="n"/>
      <c r="AJ36" s="15" t="n"/>
      <c r="AK36" s="15" t="n"/>
      <c r="AL36" s="15" t="n"/>
      <c r="AM36" s="1" t="n"/>
      <c r="AN36" s="1" t="n"/>
      <c r="AO36" s="1" t="n"/>
      <c r="AP36" s="1" t="n"/>
      <c r="AQ36" s="1" t="n"/>
      <c r="AR36" s="1" t="n"/>
      <c r="AS36" s="1" t="n"/>
      <c r="AT36" s="1" t="n"/>
    </row>
    <row r="37" ht="119.25" customHeight="1" s="184">
      <c r="A37" s="12" t="n"/>
      <c r="B37" s="12" t="n"/>
      <c r="C37" s="12" t="n"/>
      <c r="D37" s="12" t="inlineStr">
        <is>
          <t>1.2.3.1</t>
        </is>
      </c>
      <c r="E37" s="212" t="inlineStr">
        <is>
          <t>Persentase publikasi/laporan Statistik Industri yang Berkualitas</t>
        </is>
      </c>
      <c r="F37" s="199" t="n"/>
      <c r="G37" s="200" t="n"/>
      <c r="H37" s="13" t="inlineStr">
        <is>
          <t>IKU</t>
        </is>
      </c>
      <c r="I37" s="13" t="inlineStr">
        <is>
          <t>Tahunan</t>
        </is>
      </c>
      <c r="J37" s="13" t="inlineStr">
        <is>
          <t>%</t>
        </is>
      </c>
      <c r="K37" s="12">
        <f>IF(OR(K39=0,ISBLANK(K39)),0,K38/K39*100)</f>
        <v/>
      </c>
      <c r="L37" s="12" t="inlineStr">
        <is>
          <t>Persen</t>
        </is>
      </c>
      <c r="M37" s="12">
        <f>IF(OR(M39=0,ISBLANK(M39)),0,M38/M39*100)</f>
        <v/>
      </c>
      <c r="N37" s="12">
        <f>IF(OR(N39=0,ISBLANK(N39)),0,N38/N39*100)</f>
        <v/>
      </c>
      <c r="O37" s="12">
        <f>IF(OR(O39=0,ISBLANK(O39)),0,O38/O39*100)</f>
        <v/>
      </c>
      <c r="P37" s="12">
        <f>IF(OR(P39=0,ISBLANK(P39)),0,P38/P39*100)</f>
        <v/>
      </c>
      <c r="Q37" s="12">
        <f>IF(OR(Q39=0,ISBLANK(Q39)),0,Q38/Q39*100)</f>
        <v/>
      </c>
      <c r="R37" s="12">
        <f>IF(OR(R39=0,ISBLANK(R39)),0,R38/R39*100)</f>
        <v/>
      </c>
      <c r="S37" s="12">
        <f>IF(OR(S39=0,ISBLANK(S39)),0,S38/S39*100)</f>
        <v/>
      </c>
      <c r="T37" s="12">
        <f>IF(OR(T39=0,ISBLANK(T39)),0,T38/T39*100)</f>
        <v/>
      </c>
      <c r="U37" s="14">
        <f>IF(OR(M37=0, ISBLANK(M37)), 0, IF((Q37/M37*100)&gt;120,120,(Q37/M37*100)))</f>
        <v/>
      </c>
      <c r="V37" s="14">
        <f>IF(OR(N37=0, ISBLANK(N37)), 0, IF((R37/N37*100)&gt;120,120,(R37/N37*100)))</f>
        <v/>
      </c>
      <c r="W37" s="14">
        <f>IF(OR(O37=0, ISBLANK(O37)), 0, IF((S37/O37*100)&gt;120,120,(S37/O37*100)))</f>
        <v/>
      </c>
      <c r="X37" s="14">
        <f>IF(OR(P37=0, ISBLANK(P37)), 0, IF((T37/P37*100)&gt;120,120,(T37/P37*100)))</f>
        <v/>
      </c>
      <c r="Y37" s="14">
        <f>IF(OR($K37=0, ISBLANK($K37)), 0, IF((Q37/$K37*100)&gt;120,120,(Q37/$K37*100)))</f>
        <v/>
      </c>
      <c r="Z37" s="14">
        <f>IF(OR($K37=0, ISBLANK($K37)), 0, IF((R37/$K37*100)&gt;120,120,(R37/$K37*100)))</f>
        <v/>
      </c>
      <c r="AA37" s="14">
        <f>IF(OR($K37=0, ISBLANK($K37)), 0, IF((S37/$K37*100)&gt;120,120,(S37/$K37*100)))</f>
        <v/>
      </c>
      <c r="AB37" s="14">
        <f>IF(OR($K37=0, ISBLANK($K37)), 0, IF((T37/$K37*100)&gt;120,120,(T37/$K37*100)))</f>
        <v/>
      </c>
      <c r="AC37" s="94" t="n"/>
      <c r="AD37" s="93" t="n"/>
      <c r="AE37" s="76" t="n"/>
      <c r="AF37" s="16" t="n"/>
      <c r="AG37" s="124" t="n"/>
      <c r="AH37" s="123" t="n"/>
      <c r="AI37" s="123" t="n"/>
      <c r="AJ37" s="120">
        <f>IF(AB37&gt;=110,"110",AB37)</f>
        <v/>
      </c>
      <c r="AK37" s="18">
        <f>IF(E$5="AA/Sangat Memuaskan","0%",IF(E$5="A/Memuaskan","0%",IF(E$5="BB/Sangat Baik","10%",IF(E$5="B/Baik","15%",IF(E$5="CC/Cukup (Memadai)","20%",IF(E$5="C/Kurang","30%","30%"))))))</f>
        <v/>
      </c>
      <c r="AL37" s="15">
        <f>AJ37*(100%-AK37)</f>
        <v/>
      </c>
      <c r="AM37" s="1" t="n"/>
      <c r="AN37" s="1" t="n"/>
      <c r="AO37" s="1" t="n"/>
      <c r="AP37" s="1" t="n"/>
      <c r="AQ37" s="1" t="n"/>
      <c r="AR37" s="1" t="n"/>
      <c r="AS37" s="1" t="n"/>
      <c r="AT37" s="1" t="n"/>
    </row>
    <row r="38" ht="24.75" customHeight="1" s="184">
      <c r="A38" s="12" t="n"/>
      <c r="B38" s="12" t="n"/>
      <c r="C38" s="12" t="n"/>
      <c r="D38" s="12" t="n"/>
      <c r="E38" s="212" t="inlineStr">
        <is>
          <t>X: Jumlah Publikasi/Laporan Statistik Industri yang berkualitas</t>
        </is>
      </c>
      <c r="F38" s="199" t="n"/>
      <c r="G38" s="200" t="n"/>
      <c r="H38" s="13" t="n"/>
      <c r="I38" s="13" t="n"/>
      <c r="J38" s="13" t="n"/>
      <c r="K38" s="16" t="n">
        <v>2</v>
      </c>
      <c r="L38" s="13" t="n"/>
      <c r="M38" s="16" t="n"/>
      <c r="N38" s="16" t="n"/>
      <c r="O38" s="16" t="n"/>
      <c r="P38" s="16" t="n"/>
      <c r="Q38" s="16" t="n"/>
      <c r="R38" s="16" t="n"/>
      <c r="S38" s="16" t="n"/>
      <c r="T38" s="16" t="n"/>
      <c r="U38" s="19" t="n"/>
      <c r="V38" s="19" t="n"/>
      <c r="W38" s="19" t="n"/>
      <c r="X38" s="19" t="n"/>
      <c r="Y38" s="19" t="n"/>
      <c r="Z38" s="19" t="n"/>
      <c r="AA38" s="19" t="n"/>
      <c r="AB38" s="19" t="n"/>
      <c r="AC38" s="19" t="n"/>
      <c r="AD38" s="19" t="n"/>
      <c r="AE38" s="19" t="n"/>
      <c r="AF38" s="19" t="n"/>
      <c r="AG38" s="19" t="n"/>
      <c r="AH38" s="128" t="n"/>
      <c r="AI38" s="122" t="n"/>
      <c r="AJ38" s="19" t="n"/>
      <c r="AK38" s="19" t="n"/>
      <c r="AL38" s="19" t="n"/>
      <c r="AM38" s="1" t="n"/>
      <c r="AN38" s="1" t="n"/>
      <c r="AO38" s="1" t="n"/>
      <c r="AP38" s="1" t="n"/>
      <c r="AQ38" s="1" t="n"/>
      <c r="AR38" s="1" t="n"/>
      <c r="AS38" s="1" t="n"/>
      <c r="AT38" s="1" t="n"/>
    </row>
    <row r="39" ht="24.75" customHeight="1" s="184">
      <c r="A39" s="12" t="n"/>
      <c r="B39" s="12" t="n"/>
      <c r="C39" s="12" t="n"/>
      <c r="D39" s="12" t="n"/>
      <c r="E39" s="212" t="inlineStr">
        <is>
          <t>Y: Jumlah seluruh Publikasi/Laporan Statistik Industri yang dihasilkan</t>
        </is>
      </c>
      <c r="F39" s="199" t="n"/>
      <c r="G39" s="200" t="n"/>
      <c r="H39" s="13" t="n"/>
      <c r="I39" s="13" t="n"/>
      <c r="J39" s="13" t="n"/>
      <c r="K39" s="16" t="n">
        <v>2</v>
      </c>
      <c r="L39" s="13" t="n"/>
      <c r="M39" s="16" t="n"/>
      <c r="N39" s="16" t="n"/>
      <c r="O39" s="16" t="n"/>
      <c r="P39" s="16" t="n"/>
      <c r="Q39" s="16" t="n"/>
      <c r="R39" s="16" t="n"/>
      <c r="S39" s="16" t="n"/>
      <c r="T39" s="16" t="n"/>
      <c r="U39" s="19" t="n"/>
      <c r="V39" s="19" t="n"/>
      <c r="W39" s="19" t="n"/>
      <c r="X39" s="19" t="n"/>
      <c r="Y39" s="19" t="n"/>
      <c r="Z39" s="19" t="n"/>
      <c r="AA39" s="19" t="n"/>
      <c r="AB39" s="19" t="n"/>
      <c r="AC39" s="19" t="n"/>
      <c r="AD39" s="19" t="n"/>
      <c r="AE39" s="19" t="n"/>
      <c r="AF39" s="19" t="n"/>
      <c r="AG39" s="19" t="n"/>
      <c r="AH39" s="118" t="n"/>
      <c r="AI39" s="19" t="n"/>
      <c r="AJ39" s="19" t="n"/>
      <c r="AK39" s="19" t="n"/>
      <c r="AL39" s="19" t="n"/>
      <c r="AM39" s="1" t="n"/>
      <c r="AN39" s="1" t="n"/>
      <c r="AO39" s="1" t="n"/>
      <c r="AP39" s="1" t="n"/>
      <c r="AQ39" s="1" t="n"/>
      <c r="AR39" s="1" t="n"/>
      <c r="AS39" s="1" t="n"/>
      <c r="AT39" s="1" t="n"/>
    </row>
    <row r="40" ht="14.25" customHeight="1" s="184">
      <c r="A40" s="12" t="n"/>
      <c r="B40" s="12" t="n"/>
      <c r="C40" s="12" t="n"/>
      <c r="D40" s="12" t="n"/>
      <c r="E40" s="12" t="n"/>
      <c r="F40" s="12" t="n"/>
      <c r="G40" s="12" t="n"/>
      <c r="H40" s="13" t="n"/>
      <c r="I40" s="13" t="n"/>
      <c r="J40" s="13" t="n"/>
      <c r="K40" s="12" t="n"/>
      <c r="L40" s="12" t="n"/>
      <c r="M40" s="12" t="n"/>
      <c r="N40" s="12" t="n"/>
      <c r="O40" s="12" t="n"/>
      <c r="P40" s="12" t="n"/>
      <c r="Q40" s="12" t="n"/>
      <c r="R40" s="12" t="n"/>
      <c r="S40" s="12" t="n"/>
      <c r="T40" s="20" t="n"/>
      <c r="U40" s="14" t="n"/>
      <c r="V40" s="14" t="n"/>
      <c r="W40" s="21" t="n"/>
      <c r="X40" s="14" t="n"/>
      <c r="Y40" s="12" t="n"/>
      <c r="Z40" s="12" t="n"/>
      <c r="AA40" s="12" t="n"/>
      <c r="AB40" s="12" t="n"/>
      <c r="AC40" s="12" t="n"/>
      <c r="AD40" s="12" t="n"/>
      <c r="AE40" s="12" t="n"/>
      <c r="AF40" s="12" t="n"/>
      <c r="AG40" s="12" t="n"/>
      <c r="AH40" s="119" t="n"/>
      <c r="AI40" s="12" t="n"/>
      <c r="AJ40" s="12" t="n"/>
      <c r="AK40" s="12" t="n"/>
      <c r="AL40" s="12" t="n"/>
      <c r="AM40" s="1" t="n"/>
      <c r="AN40" s="1" t="n"/>
      <c r="AO40" s="1" t="n"/>
      <c r="AP40" s="1" t="n"/>
      <c r="AQ40" s="1" t="n"/>
      <c r="AR40" s="1" t="n"/>
      <c r="AS40" s="1" t="n"/>
      <c r="AT40" s="1" t="n"/>
    </row>
    <row r="41" ht="14.25" customHeight="1" s="184">
      <c r="A41" s="12" t="n"/>
      <c r="B41" s="12" t="inlineStr">
        <is>
          <t>1.3.1</t>
        </is>
      </c>
      <c r="C41" s="12" t="inlineStr">
        <is>
          <t>Terwujudnya Penyediaan Data dan Insight Statistik Distribusi yang Berkualitas</t>
        </is>
      </c>
      <c r="D41" s="12" t="n"/>
      <c r="E41" s="12" t="n"/>
      <c r="F41" s="12" t="n"/>
      <c r="G41" s="12" t="n"/>
      <c r="H41" s="13" t="n"/>
      <c r="I41" s="13" t="n"/>
      <c r="J41" s="13" t="n"/>
      <c r="K41" s="12" t="n"/>
      <c r="L41" s="12" t="n"/>
      <c r="M41" s="12" t="n"/>
      <c r="N41" s="12" t="n"/>
      <c r="O41" s="12" t="n"/>
      <c r="P41" s="12" t="n"/>
      <c r="Q41" s="12" t="n"/>
      <c r="R41" s="12" t="n"/>
      <c r="S41" s="12" t="n"/>
      <c r="T41" s="12" t="n"/>
      <c r="U41" s="14" t="n"/>
      <c r="V41" s="14" t="n"/>
      <c r="W41" s="14" t="n"/>
      <c r="X41" s="14" t="n"/>
      <c r="Y41" s="14" t="n"/>
      <c r="Z41" s="14" t="n"/>
      <c r="AA41" s="14" t="n"/>
      <c r="AB41" s="14" t="n"/>
      <c r="AC41" s="12" t="n"/>
      <c r="AD41" s="12" t="n"/>
      <c r="AE41" s="12" t="n"/>
      <c r="AF41" s="12" t="n"/>
      <c r="AG41" s="12" t="n"/>
      <c r="AH41" s="126" t="n"/>
      <c r="AI41" s="121" t="n"/>
      <c r="AJ41" s="15" t="n"/>
      <c r="AK41" s="15" t="n"/>
      <c r="AL41" s="15" t="n"/>
      <c r="AM41" s="1" t="n"/>
      <c r="AN41" s="1" t="n"/>
      <c r="AO41" s="1" t="n"/>
      <c r="AP41" s="1" t="n"/>
      <c r="AQ41" s="1" t="n"/>
      <c r="AR41" s="1" t="n"/>
      <c r="AS41" s="1" t="n"/>
      <c r="AT41" s="1" t="n"/>
    </row>
    <row r="42" ht="240" customFormat="1" customHeight="1" s="83">
      <c r="A42" s="77" t="n"/>
      <c r="B42" s="77" t="n"/>
      <c r="C42" s="77" t="n"/>
      <c r="D42" s="77" t="inlineStr">
        <is>
          <t>1.3.1.1</t>
        </is>
      </c>
      <c r="E42" s="12" t="inlineStr">
        <is>
          <t>Persentase Publikasi/Laporan Statistik Distribusi yang Berkualitas</t>
        </is>
      </c>
      <c r="F42" s="12" t="n"/>
      <c r="G42" s="12" t="n"/>
      <c r="H42" s="78" t="inlineStr">
        <is>
          <t>IKU</t>
        </is>
      </c>
      <c r="I42" s="78" t="inlineStr">
        <is>
          <t>Tahunan</t>
        </is>
      </c>
      <c r="J42" s="78" t="inlineStr">
        <is>
          <t>%</t>
        </is>
      </c>
      <c r="K42" s="77">
        <f>IF(OR(K44=0,ISBLANK(K44)),0,K43/K44*100)</f>
        <v/>
      </c>
      <c r="L42" s="77" t="inlineStr">
        <is>
          <t>Persen</t>
        </is>
      </c>
      <c r="M42" s="77">
        <f>IF(OR(M44=0,ISBLANK(M44)),0,M43/M44*100)</f>
        <v/>
      </c>
      <c r="N42" s="77">
        <f>IF(OR(N44=0,ISBLANK(N44)),0,N43/N44*100)</f>
        <v/>
      </c>
      <c r="O42" s="77">
        <f>IF(OR(O44=0,ISBLANK(O44)),0,O43/O44*100)</f>
        <v/>
      </c>
      <c r="P42" s="77">
        <f>IF(OR(P44=0,ISBLANK(P44)),0,P43/P44*100)</f>
        <v/>
      </c>
      <c r="Q42" s="77">
        <f>IF(OR(Q44=0,ISBLANK(Q44)),0,Q43/Q44*100)</f>
        <v/>
      </c>
      <c r="R42" s="77">
        <f>IF(OR(R44=0,ISBLANK(R44)),0,R43/R44*100)</f>
        <v/>
      </c>
      <c r="S42" s="77">
        <f>IF(OR(S44=0,ISBLANK(S44)),0,S43/S44*100)</f>
        <v/>
      </c>
      <c r="T42" s="77">
        <f>IF(OR(T44=0,ISBLANK(T44)),0,T43/T44*100)</f>
        <v/>
      </c>
      <c r="U42" s="79">
        <f>IF(OR(M42=0, ISBLANK(M42)), 0, IF((Q42/M42*100)&gt;120,120,(Q42/M42*100)))</f>
        <v/>
      </c>
      <c r="V42" s="79">
        <f>IF(OR(N42=0, ISBLANK(N42)), 0, IF((R42/N42*100)&gt;120,120,(R42/N42*100)))</f>
        <v/>
      </c>
      <c r="W42" s="79">
        <f>IF(OR(O42=0, ISBLANK(O42)), 0, IF((S42/O42*100)&gt;120,120,(S42/O42*100)))</f>
        <v/>
      </c>
      <c r="X42" s="79">
        <f>IF(OR(P42=0, ISBLANK(P42)), 0, IF((T42/P42*100)&gt;120,120,(T42/P42*100)))</f>
        <v/>
      </c>
      <c r="Y42" s="79">
        <f>IF(OR($K42=0, ISBLANK($K42)), 0, IF((Q42/$K42*100)&gt;120,120,(Q42/$K42*100)))</f>
        <v/>
      </c>
      <c r="Z42" s="79">
        <f>IF(OR($K42=0, ISBLANK($K42)), 0, IF((R42/$K42*100)&gt;120,120,(R42/$K42*100)))</f>
        <v/>
      </c>
      <c r="AA42" s="79">
        <f>IF(OR($K42=0, ISBLANK($K42)), 0, IF((S42/$K42*100)&gt;120,120,(S42/$K42*100)))</f>
        <v/>
      </c>
      <c r="AB42" s="79">
        <f>IF(OR($K42=0, ISBLANK($K42)), 0, IF((T42/$K42*100)&gt;120,120,(T42/$K42*100)))</f>
        <v/>
      </c>
      <c r="AC42" s="76" t="n"/>
      <c r="AD42" s="108" t="n"/>
      <c r="AE42" s="76" t="n"/>
      <c r="AF42" s="76" t="n"/>
      <c r="AG42" s="124" t="n"/>
      <c r="AH42" s="123" t="n"/>
      <c r="AI42" s="123" t="n"/>
      <c r="AJ42" s="130">
        <f>IF(AB42&gt;=110,"110",AB42)</f>
        <v/>
      </c>
      <c r="AK42" s="80">
        <f>IF(E$5="AA/Sangat Memuaskan","0%",IF(E$5="A/Memuaskan","0%",IF(E$5="BB/Sangat Baik","10%",IF(E$5="B/Baik","15%",IF(E$5="CC/Cukup (Memadai)","20%",IF(E$5="C/Kurang","30%","30%"))))))</f>
        <v/>
      </c>
      <c r="AL42" s="81">
        <f>AJ42*(100%-AK42)</f>
        <v/>
      </c>
      <c r="AM42" s="82" t="n"/>
      <c r="AN42" s="82" t="n"/>
      <c r="AO42" s="82" t="n"/>
      <c r="AP42" s="82" t="n"/>
      <c r="AQ42" s="82" t="n"/>
      <c r="AR42" s="82" t="n"/>
      <c r="AS42" s="82" t="n"/>
      <c r="AT42" s="82" t="n"/>
    </row>
    <row r="43" ht="15.75" customHeight="1" s="184">
      <c r="A43" s="12" t="n"/>
      <c r="B43" s="12" t="n"/>
      <c r="C43" s="12" t="n"/>
      <c r="D43" s="12" t="n"/>
      <c r="E43" s="210" t="inlineStr">
        <is>
          <t>X: Jumlah Publikasi/Laporan Statistik Distribusi yang berkualitas</t>
        </is>
      </c>
      <c r="F43" s="199" t="n"/>
      <c r="G43" s="200" t="n"/>
      <c r="H43" s="13" t="n"/>
      <c r="I43" s="13" t="n"/>
      <c r="J43" s="13" t="n"/>
      <c r="K43" s="16" t="n">
        <v>9</v>
      </c>
      <c r="L43" s="13" t="n"/>
      <c r="M43" s="16" t="n">
        <v>0</v>
      </c>
      <c r="N43" s="16" t="n">
        <v>0</v>
      </c>
      <c r="O43" s="16" t="n">
        <v>0</v>
      </c>
      <c r="P43" s="16" t="n">
        <v>9</v>
      </c>
      <c r="Q43" s="16" t="n"/>
      <c r="R43" s="16" t="n"/>
      <c r="S43" s="16" t="n"/>
      <c r="T43" s="16" t="n"/>
      <c r="U43" s="19" t="n"/>
      <c r="V43" s="19" t="n"/>
      <c r="W43" s="19" t="n"/>
      <c r="X43" s="19" t="n"/>
      <c r="Y43" s="19" t="n"/>
      <c r="Z43" s="19" t="n"/>
      <c r="AA43" s="19" t="n"/>
      <c r="AB43" s="19" t="n"/>
      <c r="AC43" s="19" t="n"/>
      <c r="AD43" s="19" t="n"/>
      <c r="AE43" s="19" t="n"/>
      <c r="AF43" s="19" t="n"/>
      <c r="AG43" s="19" t="n"/>
      <c r="AH43" s="128" t="n"/>
      <c r="AI43" s="122" t="n"/>
      <c r="AJ43" s="19" t="n"/>
      <c r="AK43" s="19" t="n"/>
      <c r="AL43" s="19" t="n"/>
      <c r="AM43" s="1" t="n"/>
      <c r="AN43" s="1" t="n"/>
      <c r="AO43" s="1" t="n"/>
      <c r="AP43" s="1" t="n"/>
      <c r="AQ43" s="1" t="n"/>
      <c r="AR43" s="1" t="n"/>
      <c r="AS43" s="1" t="n"/>
      <c r="AT43" s="1" t="n"/>
    </row>
    <row r="44" ht="15.75" customHeight="1" s="184">
      <c r="A44" s="12" t="n"/>
      <c r="B44" s="12" t="n"/>
      <c r="C44" s="12" t="n"/>
      <c r="D44" s="12" t="n"/>
      <c r="E44" s="210" t="inlineStr">
        <is>
          <t>Y: Jumlah seluruh Publikasi/Laporan Statistik Distribusi yang dihasilkan</t>
        </is>
      </c>
      <c r="F44" s="199" t="n"/>
      <c r="G44" s="200" t="n"/>
      <c r="H44" s="13" t="n"/>
      <c r="I44" s="13" t="n"/>
      <c r="J44" s="13" t="n"/>
      <c r="K44" s="16" t="n">
        <v>9</v>
      </c>
      <c r="L44" s="13" t="n"/>
      <c r="M44" s="16" t="n">
        <v>0</v>
      </c>
      <c r="N44" s="16" t="n">
        <v>0</v>
      </c>
      <c r="O44" s="16" t="n">
        <v>0</v>
      </c>
      <c r="P44" s="16" t="n">
        <v>9</v>
      </c>
      <c r="Q44" s="16" t="n"/>
      <c r="R44" s="16" t="n"/>
      <c r="S44" s="16" t="n"/>
      <c r="T44" s="16" t="n"/>
      <c r="U44" s="19" t="n"/>
      <c r="V44" s="19" t="n"/>
      <c r="W44" s="19" t="n"/>
      <c r="X44" s="19" t="n"/>
      <c r="Y44" s="19" t="n"/>
      <c r="Z44" s="19" t="n"/>
      <c r="AA44" s="19" t="n"/>
      <c r="AB44" s="19" t="n"/>
      <c r="AC44" s="19" t="n"/>
      <c r="AD44" s="19" t="n"/>
      <c r="AE44" s="19" t="n"/>
      <c r="AF44" s="19" t="n"/>
      <c r="AG44" s="19" t="n"/>
      <c r="AH44" s="118" t="n"/>
      <c r="AI44" s="19" t="n"/>
      <c r="AJ44" s="19" t="n"/>
      <c r="AK44" s="19" t="n"/>
      <c r="AL44" s="19" t="n"/>
      <c r="AM44" s="1" t="n"/>
      <c r="AN44" s="1" t="n"/>
      <c r="AO44" s="1" t="n"/>
      <c r="AP44" s="1" t="n"/>
      <c r="AQ44" s="1" t="n"/>
      <c r="AR44" s="1" t="n"/>
      <c r="AS44" s="1" t="n"/>
      <c r="AT44" s="1" t="n"/>
    </row>
    <row r="45" ht="14.25" customHeight="1" s="184">
      <c r="A45" s="12" t="n"/>
      <c r="B45" s="12" t="n"/>
      <c r="C45" s="12" t="n"/>
      <c r="D45" s="12" t="n"/>
      <c r="E45" s="12" t="n"/>
      <c r="F45" s="12" t="n"/>
      <c r="G45" s="12" t="n"/>
      <c r="H45" s="13" t="n"/>
      <c r="I45" s="13" t="n"/>
      <c r="J45" s="13" t="n"/>
      <c r="K45" s="12" t="n"/>
      <c r="L45" s="12" t="n"/>
      <c r="M45" s="12" t="n"/>
      <c r="N45" s="12" t="n"/>
      <c r="O45" s="12" t="n"/>
      <c r="P45" s="12" t="n"/>
      <c r="Q45" s="12" t="n"/>
      <c r="R45" s="12" t="n"/>
      <c r="S45" s="12" t="n"/>
      <c r="T45" s="20" t="n"/>
      <c r="U45" s="14" t="n"/>
      <c r="V45" s="14" t="n"/>
      <c r="W45" s="21" t="n"/>
      <c r="X45" s="14" t="n"/>
      <c r="Y45" s="12" t="n"/>
      <c r="Z45" s="12" t="n"/>
      <c r="AA45" s="12" t="n"/>
      <c r="AB45" s="12" t="n"/>
      <c r="AC45" s="12" t="n"/>
      <c r="AD45" s="12" t="n"/>
      <c r="AE45" s="12" t="n"/>
      <c r="AF45" s="12" t="n"/>
      <c r="AG45" s="12" t="n"/>
      <c r="AH45" s="119" t="n"/>
      <c r="AI45" s="12" t="n"/>
      <c r="AJ45" s="12" t="n"/>
      <c r="AK45" s="12" t="n"/>
      <c r="AL45" s="12" t="n"/>
      <c r="AM45" s="1" t="n"/>
      <c r="AN45" s="1" t="n"/>
      <c r="AO45" s="1" t="n"/>
      <c r="AP45" s="1" t="n"/>
      <c r="AQ45" s="1" t="n"/>
      <c r="AR45" s="1" t="n"/>
      <c r="AS45" s="1" t="n"/>
      <c r="AT45" s="1" t="n"/>
    </row>
    <row r="46" ht="14.25" customHeight="1" s="184">
      <c r="A46" s="12" t="n"/>
      <c r="B46" s="12" t="inlineStr">
        <is>
          <t>1.3.3</t>
        </is>
      </c>
      <c r="C46" s="12" t="inlineStr">
        <is>
          <t>Terwujudnya Penyediaan Data dan Insight Statistik Harga yang Berkualitas</t>
        </is>
      </c>
      <c r="D46" s="12" t="n"/>
      <c r="E46" s="12" t="n"/>
      <c r="F46" s="12" t="n"/>
      <c r="G46" s="12" t="n"/>
      <c r="H46" s="13" t="n"/>
      <c r="I46" s="13" t="n"/>
      <c r="J46" s="13" t="n"/>
      <c r="K46" s="12" t="n"/>
      <c r="L46" s="12" t="n"/>
      <c r="M46" s="12" t="n"/>
      <c r="N46" s="12" t="n"/>
      <c r="O46" s="12" t="n"/>
      <c r="P46" s="12" t="n"/>
      <c r="Q46" s="12" t="n"/>
      <c r="R46" s="12" t="n"/>
      <c r="S46" s="12" t="n"/>
      <c r="T46" s="12" t="n"/>
      <c r="U46" s="14" t="n"/>
      <c r="V46" s="14" t="n"/>
      <c r="W46" s="14" t="n"/>
      <c r="X46" s="14" t="n"/>
      <c r="Y46" s="14" t="n"/>
      <c r="Z46" s="14" t="n"/>
      <c r="AA46" s="14" t="n"/>
      <c r="AB46" s="14" t="n"/>
      <c r="AC46" s="12" t="n"/>
      <c r="AD46" s="12" t="n"/>
      <c r="AE46" s="12" t="n"/>
      <c r="AF46" s="12" t="n"/>
      <c r="AG46" s="12" t="n"/>
      <c r="AH46" s="126" t="n"/>
      <c r="AI46" s="121" t="n"/>
      <c r="AJ46" s="15" t="n"/>
      <c r="AK46" s="15" t="n"/>
      <c r="AL46" s="15" t="n"/>
      <c r="AM46" s="1" t="n"/>
      <c r="AN46" s="1" t="n"/>
      <c r="AO46" s="1" t="n"/>
      <c r="AP46" s="1" t="n"/>
      <c r="AQ46" s="1" t="n"/>
      <c r="AR46" s="1" t="n"/>
      <c r="AS46" s="1" t="n"/>
      <c r="AT46" s="1" t="n"/>
    </row>
    <row r="47" ht="409.6" customFormat="1" customHeight="1" s="83">
      <c r="A47" s="77" t="n"/>
      <c r="B47" s="77" t="n"/>
      <c r="C47" s="77" t="n"/>
      <c r="D47" s="77" t="inlineStr">
        <is>
          <t>1.3.3.1</t>
        </is>
      </c>
      <c r="E47" s="210" t="inlineStr">
        <is>
          <t>Persentase Publikasi/laporan Statistik Harga yang Berkualitas</t>
        </is>
      </c>
      <c r="F47" s="199" t="n"/>
      <c r="G47" s="200" t="n"/>
      <c r="H47" s="78" t="inlineStr">
        <is>
          <t>IKU</t>
        </is>
      </c>
      <c r="I47" s="78" t="inlineStr">
        <is>
          <t>Tahunan</t>
        </is>
      </c>
      <c r="J47" s="78" t="inlineStr">
        <is>
          <t>%</t>
        </is>
      </c>
      <c r="K47" s="77">
        <f>IF(OR(K49=0,ISBLANK(K49)),0,K48/K49*100)</f>
        <v/>
      </c>
      <c r="L47" s="77" t="inlineStr">
        <is>
          <t>Persen</t>
        </is>
      </c>
      <c r="M47" s="77">
        <f>IF(OR(M49=0,ISBLANK(M49)),0,M48/M49*100)</f>
        <v/>
      </c>
      <c r="N47" s="77">
        <f>IF(OR(N49=0,ISBLANK(N49)),0,N48/N49*100)</f>
        <v/>
      </c>
      <c r="O47" s="77">
        <f>IF(OR(O49=0,ISBLANK(O49)),0,O48/O49*100)</f>
        <v/>
      </c>
      <c r="P47" s="77">
        <f>IF(OR(P49=0,ISBLANK(P49)),0,P48/P49*100)</f>
        <v/>
      </c>
      <c r="Q47" s="77">
        <f>IF(OR(Q49=0,ISBLANK(Q49)),0,Q48/Q49*100)</f>
        <v/>
      </c>
      <c r="R47" s="77">
        <f>IF(OR(R49=0,ISBLANK(R49)),0,R48/R49*100)</f>
        <v/>
      </c>
      <c r="S47" s="77">
        <f>IF(OR(S49=0,ISBLANK(S49)),0,S48/S49*100)</f>
        <v/>
      </c>
      <c r="T47" s="77">
        <f>IF(OR(T49=0,ISBLANK(T49)),0,T48/T49*100)</f>
        <v/>
      </c>
      <c r="U47" s="79">
        <f>IF(OR(M47=0, ISBLANK(M47)), 0, IF((Q47/M47*100)&gt;120,120,(Q47/M47*100)))</f>
        <v/>
      </c>
      <c r="V47" s="79">
        <f>IF(OR(N47=0, ISBLANK(N47)), 0, IF((R47/N47*100)&gt;120,120,(R47/N47*100)))</f>
        <v/>
      </c>
      <c r="W47" s="79">
        <f>IF(OR(O47=0, ISBLANK(O47)), 0, IF((S47/O47*100)&gt;120,120,(S47/O47*100)))</f>
        <v/>
      </c>
      <c r="X47" s="79">
        <f>IF(OR(P47=0, ISBLANK(P47)), 0, IF((T47/P47*100)&gt;120,120,(T47/P47*100)))</f>
        <v/>
      </c>
      <c r="Y47" s="79">
        <f>IF(OR($K47=0, ISBLANK($K47)), 0, IF((Q47/$K47*100)&gt;120,120,(Q47/$K47*100)))</f>
        <v/>
      </c>
      <c r="Z47" s="79">
        <f>IF(OR($K47=0, ISBLANK($K47)), 0, IF((R47/$K47*100)&gt;120,120,(R47/$K47*100)))</f>
        <v/>
      </c>
      <c r="AA47" s="79">
        <f>IF(OR($K47=0, ISBLANK($K47)), 0, IF((S47/$K47*100)&gt;120,120,(S47/$K47*100)))</f>
        <v/>
      </c>
      <c r="AB47" s="79">
        <f>IF(OR($K47=0, ISBLANK($K47)), 0, IF((T47/$K47*100)&gt;120,120,(T47/$K47*100)))</f>
        <v/>
      </c>
      <c r="AC47" s="76" t="n"/>
      <c r="AD47" s="76" t="n"/>
      <c r="AE47" s="76" t="n"/>
      <c r="AF47" s="76" t="n"/>
      <c r="AG47" s="124" t="n"/>
      <c r="AH47" s="123" t="n"/>
      <c r="AI47" s="123" t="n"/>
      <c r="AJ47" s="130">
        <f>IF(AB47&gt;=110,"110",AB47)</f>
        <v/>
      </c>
      <c r="AK47" s="80">
        <f>IF(E$5="AA/Sangat Memuaskan","0%",IF(E$5="A/Memuaskan","0%",IF(E$5="BB/Sangat Baik","10%",IF(E$5="B/Baik","15%",IF(E$5="CC/Cukup (Memadai)","20%",IF(E$5="C/Kurang","30%","30%"))))))</f>
        <v/>
      </c>
      <c r="AL47" s="81">
        <f>AJ47*(100%-AK47)</f>
        <v/>
      </c>
      <c r="AM47" s="82" t="n"/>
      <c r="AN47" s="82" t="n"/>
      <c r="AO47" s="82" t="n"/>
      <c r="AP47" s="82" t="n"/>
      <c r="AQ47" s="82" t="n"/>
      <c r="AR47" s="82" t="n"/>
      <c r="AS47" s="82" t="n"/>
      <c r="AT47" s="82" t="n"/>
    </row>
    <row r="48" ht="15.75" customHeight="1" s="184">
      <c r="A48" s="12" t="n"/>
      <c r="B48" s="12" t="n"/>
      <c r="C48" s="12" t="n"/>
      <c r="D48" s="12" t="n"/>
      <c r="E48" s="210" t="inlineStr">
        <is>
          <t>X: Jumlah Publikasi/Laporan Statistik Harga yang berkualitas</t>
        </is>
      </c>
      <c r="F48" s="199" t="n"/>
      <c r="G48" s="200" t="n"/>
      <c r="H48" s="13" t="n"/>
      <c r="I48" s="13" t="n"/>
      <c r="J48" s="13" t="n"/>
      <c r="K48" s="16" t="n">
        <v>4</v>
      </c>
      <c r="L48" s="13" t="n"/>
      <c r="M48" s="16" t="n">
        <v>0</v>
      </c>
      <c r="N48" s="16" t="n">
        <v>0</v>
      </c>
      <c r="O48" s="16" t="n">
        <v>0</v>
      </c>
      <c r="P48" s="16" t="n">
        <v>4</v>
      </c>
      <c r="Q48" s="16" t="n"/>
      <c r="R48" s="16" t="n"/>
      <c r="S48" s="16" t="n"/>
      <c r="T48" s="16" t="n"/>
      <c r="U48" s="19" t="n"/>
      <c r="V48" s="19" t="n"/>
      <c r="W48" s="19" t="n"/>
      <c r="X48" s="19" t="n"/>
      <c r="Y48" s="19" t="n"/>
      <c r="Z48" s="19" t="n"/>
      <c r="AA48" s="19" t="n"/>
      <c r="AB48" s="19" t="n"/>
      <c r="AC48" s="19" t="n"/>
      <c r="AD48" s="19" t="n"/>
      <c r="AE48" s="19" t="n"/>
      <c r="AF48" s="19" t="n"/>
      <c r="AG48" s="19" t="n"/>
      <c r="AH48" s="128" t="n"/>
      <c r="AI48" s="122" t="n"/>
      <c r="AJ48" s="19" t="n"/>
      <c r="AK48" s="19" t="n"/>
      <c r="AL48" s="19" t="n"/>
      <c r="AM48" s="1" t="n"/>
      <c r="AN48" s="1" t="n"/>
      <c r="AO48" s="1" t="n"/>
      <c r="AP48" s="1" t="n"/>
      <c r="AQ48" s="1" t="n"/>
      <c r="AR48" s="1" t="n"/>
      <c r="AS48" s="1" t="n"/>
      <c r="AT48" s="1" t="n"/>
    </row>
    <row r="49" ht="15.75" customHeight="1" s="184">
      <c r="A49" s="12" t="n"/>
      <c r="B49" s="12" t="n"/>
      <c r="C49" s="12" t="n"/>
      <c r="D49" s="12" t="n"/>
      <c r="E49" s="210" t="inlineStr">
        <is>
          <t>Y: Jumlah seluruh Publikasi/Laporan Statistik Harga yang dihasilkan</t>
        </is>
      </c>
      <c r="F49" s="199" t="n"/>
      <c r="G49" s="200" t="n"/>
      <c r="H49" s="13" t="n"/>
      <c r="I49" s="13" t="n"/>
      <c r="J49" s="13" t="n"/>
      <c r="K49" s="16" t="n">
        <v>4</v>
      </c>
      <c r="L49" s="13" t="n"/>
      <c r="M49" s="16" t="n">
        <v>0</v>
      </c>
      <c r="N49" s="16" t="n">
        <v>0</v>
      </c>
      <c r="O49" s="16" t="n">
        <v>0</v>
      </c>
      <c r="P49" s="16" t="n">
        <v>4</v>
      </c>
      <c r="Q49" s="16" t="n"/>
      <c r="R49" s="16" t="n"/>
      <c r="S49" s="16" t="n"/>
      <c r="T49" s="16" t="n"/>
      <c r="U49" s="19" t="n"/>
      <c r="V49" s="19" t="n"/>
      <c r="W49" s="19" t="n"/>
      <c r="X49" s="19" t="n"/>
      <c r="Y49" s="19" t="n"/>
      <c r="Z49" s="19" t="n"/>
      <c r="AA49" s="19" t="n"/>
      <c r="AB49" s="19" t="n"/>
      <c r="AC49" s="19" t="n"/>
      <c r="AD49" s="19" t="n"/>
      <c r="AE49" s="19" t="n"/>
      <c r="AF49" s="19" t="n"/>
      <c r="AG49" s="19" t="n"/>
      <c r="AH49" s="118" t="n"/>
      <c r="AI49" s="19" t="n"/>
      <c r="AJ49" s="19" t="n"/>
      <c r="AK49" s="19" t="n"/>
      <c r="AL49" s="19" t="n"/>
      <c r="AM49" s="1" t="n"/>
      <c r="AN49" s="1" t="n"/>
      <c r="AO49" s="1" t="n"/>
      <c r="AP49" s="1" t="n"/>
      <c r="AQ49" s="1" t="n"/>
      <c r="AR49" s="1" t="n"/>
      <c r="AS49" s="1" t="n"/>
      <c r="AT49" s="1" t="n"/>
    </row>
    <row r="50" ht="14.25" customHeight="1" s="184">
      <c r="A50" s="12" t="n"/>
      <c r="B50" s="12" t="n"/>
      <c r="C50" s="12" t="n"/>
      <c r="D50" s="12" t="n"/>
      <c r="E50" s="12" t="n"/>
      <c r="F50" s="12" t="n"/>
      <c r="G50" s="12" t="n"/>
      <c r="H50" s="13" t="n"/>
      <c r="I50" s="13" t="n"/>
      <c r="J50" s="13" t="n"/>
      <c r="K50" s="12" t="n"/>
      <c r="L50" s="12" t="n"/>
      <c r="M50" s="12" t="n"/>
      <c r="N50" s="12" t="n"/>
      <c r="O50" s="12" t="n"/>
      <c r="P50" s="12" t="n"/>
      <c r="Q50" s="12" t="n"/>
      <c r="R50" s="12" t="n"/>
      <c r="S50" s="12" t="n"/>
      <c r="T50" s="20" t="n"/>
      <c r="U50" s="14" t="n"/>
      <c r="V50" s="14" t="n"/>
      <c r="W50" s="21" t="n"/>
      <c r="X50" s="14" t="n"/>
      <c r="Y50" s="12" t="n"/>
      <c r="Z50" s="12" t="n"/>
      <c r="AA50" s="12" t="n"/>
      <c r="AB50" s="12" t="n"/>
      <c r="AC50" s="12" t="n"/>
      <c r="AD50" s="12" t="n"/>
      <c r="AE50" s="12" t="n"/>
      <c r="AF50" s="12" t="n"/>
      <c r="AG50" s="12" t="n"/>
      <c r="AH50" s="119" t="n"/>
      <c r="AI50" s="12" t="n"/>
      <c r="AJ50" s="12" t="n"/>
      <c r="AK50" s="12" t="n"/>
      <c r="AL50" s="12" t="n"/>
      <c r="AM50" s="1" t="n"/>
      <c r="AN50" s="1" t="n"/>
      <c r="AO50" s="1" t="n"/>
      <c r="AP50" s="1" t="n"/>
      <c r="AQ50" s="1" t="n"/>
      <c r="AR50" s="1" t="n"/>
      <c r="AS50" s="1" t="n"/>
      <c r="AT50" s="1" t="n"/>
    </row>
    <row r="51" ht="15" customHeight="1" s="184">
      <c r="A51" s="12" t="n"/>
      <c r="B51" s="12" t="inlineStr">
        <is>
          <t>1.3.5</t>
        </is>
      </c>
      <c r="C51" s="210" t="inlineStr">
        <is>
          <t>Terwujudnya Penyediaan Data dan Insight Statistik Jasa yang Berkualitas</t>
        </is>
      </c>
      <c r="D51" s="199" t="n"/>
      <c r="E51" s="199" t="n"/>
      <c r="F51" s="199" t="n"/>
      <c r="G51" s="200" t="n"/>
      <c r="H51" s="13" t="n"/>
      <c r="I51" s="13" t="n"/>
      <c r="J51" s="13" t="n"/>
      <c r="K51" s="12" t="n"/>
      <c r="L51" s="12" t="n"/>
      <c r="M51" s="12" t="n"/>
      <c r="N51" s="12" t="n"/>
      <c r="O51" s="12" t="n"/>
      <c r="P51" s="12" t="n"/>
      <c r="Q51" s="12" t="n"/>
      <c r="R51" s="12" t="n"/>
      <c r="S51" s="12" t="n"/>
      <c r="T51" s="12" t="n"/>
      <c r="U51" s="14" t="n"/>
      <c r="V51" s="14" t="n"/>
      <c r="W51" s="14" t="n"/>
      <c r="X51" s="14" t="n"/>
      <c r="Y51" s="14" t="n"/>
      <c r="Z51" s="14" t="n"/>
      <c r="AA51" s="14" t="n"/>
      <c r="AB51" s="14" t="n"/>
      <c r="AC51" s="12" t="n"/>
      <c r="AD51" s="12" t="n"/>
      <c r="AE51" s="12" t="n"/>
      <c r="AF51" s="12" t="n"/>
      <c r="AG51" s="12" t="n"/>
      <c r="AH51" s="126" t="n"/>
      <c r="AI51" s="121" t="n"/>
      <c r="AJ51" s="15" t="n"/>
      <c r="AK51" s="15" t="n"/>
      <c r="AL51" s="15" t="n"/>
      <c r="AM51" s="1" t="n"/>
      <c r="AN51" s="1" t="n"/>
      <c r="AO51" s="1" t="n"/>
      <c r="AP51" s="1" t="n"/>
      <c r="AQ51" s="1" t="n"/>
      <c r="AR51" s="1" t="n"/>
      <c r="AS51" s="1" t="n"/>
      <c r="AT51" s="1" t="n"/>
    </row>
    <row r="52" ht="101.25" customHeight="1" s="184">
      <c r="A52" s="12" t="n"/>
      <c r="B52" s="12" t="n"/>
      <c r="C52" s="12" t="n"/>
      <c r="D52" s="12" t="inlineStr">
        <is>
          <t>1.3.5.1</t>
        </is>
      </c>
      <c r="E52" s="210" t="inlineStr">
        <is>
          <t>Persentase Publikasi/Laporan Statistik Jasa yang Berkualitas</t>
        </is>
      </c>
      <c r="F52" s="199" t="n"/>
      <c r="G52" s="200" t="n"/>
      <c r="H52" s="13" t="inlineStr">
        <is>
          <t>IKU</t>
        </is>
      </c>
      <c r="I52" s="13" t="inlineStr">
        <is>
          <t>Tahunan</t>
        </is>
      </c>
      <c r="J52" s="13" t="inlineStr">
        <is>
          <t>%</t>
        </is>
      </c>
      <c r="K52" s="12">
        <f>IF(OR(K54=0,ISBLANK(K54)),0,K53/K54*100)</f>
        <v/>
      </c>
      <c r="L52" s="12" t="inlineStr">
        <is>
          <t>Persen</t>
        </is>
      </c>
      <c r="M52" s="12">
        <f>IF(OR(M54=0,ISBLANK(M54)),0,M53/M54*100)</f>
        <v/>
      </c>
      <c r="N52" s="12">
        <f>IF(OR(N54=0,ISBLANK(N54)),0,N53/N54*100)</f>
        <v/>
      </c>
      <c r="O52" s="12">
        <f>IF(OR(O54=0,ISBLANK(O54)),0,O53/O54*100)</f>
        <v/>
      </c>
      <c r="P52" s="12">
        <f>IF(OR(P54=0,ISBLANK(P54)),0,P53/P54*100)</f>
        <v/>
      </c>
      <c r="Q52" s="12">
        <f>IF(OR(Q54=0,ISBLANK(Q54)),0,Q53/Q54*100)</f>
        <v/>
      </c>
      <c r="R52" s="12">
        <f>IF(OR(R54=0,ISBLANK(R54)),0,R53/R54*100)</f>
        <v/>
      </c>
      <c r="S52" s="12">
        <f>IF(OR(S54=0,ISBLANK(S54)),0,S53/S54*100)</f>
        <v/>
      </c>
      <c r="T52" s="12">
        <f>IF(OR(T54=0,ISBLANK(T54)),0,T53/T54*100)</f>
        <v/>
      </c>
      <c r="U52" s="14">
        <f>IF(OR(M52=0, ISBLANK(M52)), 0, IF((Q52/M52*100)&gt;120,120,(Q52/M52*100)))</f>
        <v/>
      </c>
      <c r="V52" s="14">
        <f>IF(OR(N52=0, ISBLANK(N52)), 0, IF((R52/N52*100)&gt;120,120,(R52/N52*100)))</f>
        <v/>
      </c>
      <c r="W52" s="14">
        <f>IF(OR(O52=0, ISBLANK(O52)), 0, IF((S52/O52*100)&gt;120,120,(S52/O52*100)))</f>
        <v/>
      </c>
      <c r="X52" s="14">
        <f>IF(OR(P52=0, ISBLANK(P52)), 0, IF((T52/P52*100)&gt;120,120,(T52/P52*100)))</f>
        <v/>
      </c>
      <c r="Y52" s="14">
        <f>IF(OR($K52=0, ISBLANK($K52)), 0, IF((Q52/$K52*100)&gt;120,120,(Q52/$K52*100)))</f>
        <v/>
      </c>
      <c r="Z52" s="14">
        <f>IF(OR($K52=0, ISBLANK($K52)), 0, IF((R52/$K52*100)&gt;120,120,(R52/$K52*100)))</f>
        <v/>
      </c>
      <c r="AA52" s="14">
        <f>IF(OR($K52=0, ISBLANK($K52)), 0, IF((S52/$K52*100)&gt;120,120,(S52/$K52*100)))</f>
        <v/>
      </c>
      <c r="AB52" s="14">
        <f>IF(OR($K52=0, ISBLANK($K52)), 0, IF((T52/$K52*100)&gt;120,120,(T52/$K52*100)))</f>
        <v/>
      </c>
      <c r="AC52" s="76" t="n"/>
      <c r="AD52" s="108" t="n"/>
      <c r="AE52" s="76" t="n"/>
      <c r="AF52" s="16" t="n"/>
      <c r="AG52" s="124" t="n"/>
      <c r="AH52" s="123" t="n"/>
      <c r="AI52" s="123" t="n"/>
      <c r="AJ52" s="120">
        <f>IF(AB52&gt;=110,"110",AB52)</f>
        <v/>
      </c>
      <c r="AK52" s="18">
        <f>IF(E$5="AA/Sangat Memuaskan","0%",IF(E$5="A/Memuaskan","0%",IF(E$5="BB/Sangat Baik","10%",IF(E$5="B/Baik","15%",IF(E$5="CC/Cukup (Memadai)","20%",IF(E$5="C/Kurang","30%","30%"))))))</f>
        <v/>
      </c>
      <c r="AL52" s="15">
        <f>AJ52*(100%-AK52)</f>
        <v/>
      </c>
      <c r="AM52" s="1" t="n"/>
      <c r="AN52" s="1" t="n"/>
      <c r="AO52" s="1" t="n"/>
      <c r="AP52" s="1" t="n"/>
      <c r="AQ52" s="1" t="n"/>
      <c r="AR52" s="1" t="n"/>
      <c r="AS52" s="1" t="n"/>
      <c r="AT52" s="1" t="n"/>
    </row>
    <row r="53" ht="15" customHeight="1" s="184">
      <c r="A53" s="12" t="n"/>
      <c r="B53" s="12" t="n"/>
      <c r="C53" s="12" t="n"/>
      <c r="D53" s="12" t="n"/>
      <c r="E53" s="210" t="inlineStr">
        <is>
          <t>X: Jumlah Publikasi/Laporan Statistik Jasa yang berkualitas</t>
        </is>
      </c>
      <c r="F53" s="199" t="n"/>
      <c r="G53" s="200" t="n"/>
      <c r="H53" s="13" t="n"/>
      <c r="I53" s="13" t="n"/>
      <c r="J53" s="13" t="n"/>
      <c r="K53" s="16" t="n">
        <v>3</v>
      </c>
      <c r="L53" s="13" t="n"/>
      <c r="M53" s="16" t="n">
        <v>0</v>
      </c>
      <c r="N53" s="16" t="n">
        <v>0</v>
      </c>
      <c r="O53" s="16" t="n">
        <v>0</v>
      </c>
      <c r="P53" s="16" t="n">
        <v>3</v>
      </c>
      <c r="Q53" s="16" t="n"/>
      <c r="R53" s="16" t="n"/>
      <c r="S53" s="16" t="n"/>
      <c r="T53" s="16" t="n"/>
      <c r="U53" s="19" t="n"/>
      <c r="V53" s="19" t="n"/>
      <c r="W53" s="19" t="n"/>
      <c r="X53" s="19" t="n"/>
      <c r="Y53" s="19" t="n"/>
      <c r="Z53" s="19" t="n"/>
      <c r="AA53" s="19" t="n"/>
      <c r="AB53" s="19" t="n"/>
      <c r="AC53" s="19" t="n"/>
      <c r="AD53" s="19" t="n"/>
      <c r="AE53" s="19" t="n"/>
      <c r="AF53" s="19" t="n"/>
      <c r="AG53" s="19" t="n"/>
      <c r="AH53" s="128" t="n"/>
      <c r="AI53" s="122" t="n"/>
      <c r="AJ53" s="19" t="n"/>
      <c r="AK53" s="19" t="n"/>
      <c r="AL53" s="19" t="n"/>
      <c r="AM53" s="1" t="n"/>
      <c r="AN53" s="1" t="n"/>
      <c r="AO53" s="1" t="n"/>
      <c r="AP53" s="1" t="n"/>
      <c r="AQ53" s="1" t="n"/>
      <c r="AR53" s="1" t="n"/>
      <c r="AS53" s="1" t="n"/>
      <c r="AT53" s="1" t="n"/>
    </row>
    <row r="54" ht="15" customHeight="1" s="184">
      <c r="A54" s="12" t="n"/>
      <c r="B54" s="12" t="n"/>
      <c r="C54" s="12" t="n"/>
      <c r="D54" s="12" t="n"/>
      <c r="E54" s="210" t="inlineStr">
        <is>
          <t>Y: Jumlah seluruh Publikasi/Laporan Statistik Jasa yang dihasilkan</t>
        </is>
      </c>
      <c r="F54" s="199" t="n"/>
      <c r="G54" s="200" t="n"/>
      <c r="H54" s="13" t="n"/>
      <c r="I54" s="13" t="n"/>
      <c r="J54" s="13" t="n"/>
      <c r="K54" s="16" t="n">
        <v>3</v>
      </c>
      <c r="L54" s="13" t="n"/>
      <c r="M54" s="16" t="n">
        <v>0</v>
      </c>
      <c r="N54" s="16" t="n">
        <v>0</v>
      </c>
      <c r="O54" s="16" t="n">
        <v>0</v>
      </c>
      <c r="P54" s="16" t="n">
        <v>3</v>
      </c>
      <c r="Q54" s="16" t="n"/>
      <c r="R54" s="16" t="n"/>
      <c r="S54" s="16" t="n"/>
      <c r="T54" s="16" t="n"/>
      <c r="U54" s="19" t="n"/>
      <c r="V54" s="19" t="n"/>
      <c r="W54" s="19" t="n"/>
      <c r="X54" s="19" t="n"/>
      <c r="Y54" s="19" t="n"/>
      <c r="Z54" s="19" t="n"/>
      <c r="AA54" s="19" t="n"/>
      <c r="AB54" s="19" t="n"/>
      <c r="AC54" s="19" t="n"/>
      <c r="AD54" s="19" t="n"/>
      <c r="AE54" s="19" t="n"/>
      <c r="AF54" s="19" t="n"/>
      <c r="AG54" s="19" t="n"/>
      <c r="AH54" s="118" t="n"/>
      <c r="AI54" s="19" t="n"/>
      <c r="AJ54" s="19" t="n"/>
      <c r="AK54" s="19" t="n"/>
      <c r="AL54" s="19" t="n"/>
      <c r="AM54" s="1" t="n"/>
      <c r="AN54" s="1" t="n"/>
      <c r="AO54" s="1" t="n"/>
      <c r="AP54" s="1" t="n"/>
      <c r="AQ54" s="1" t="n"/>
      <c r="AR54" s="1" t="n"/>
      <c r="AS54" s="1" t="n"/>
      <c r="AT54" s="1" t="n"/>
    </row>
    <row r="55" ht="14.25" customHeight="1" s="184">
      <c r="A55" s="12" t="n"/>
      <c r="B55" s="12" t="n"/>
      <c r="C55" s="12" t="n"/>
      <c r="D55" s="12" t="n"/>
      <c r="E55" s="12" t="n"/>
      <c r="F55" s="12" t="n"/>
      <c r="G55" s="12" t="n"/>
      <c r="H55" s="13" t="n"/>
      <c r="I55" s="13" t="n"/>
      <c r="J55" s="13" t="n"/>
      <c r="K55" s="12" t="n"/>
      <c r="L55" s="12" t="n"/>
      <c r="M55" s="12" t="n"/>
      <c r="N55" s="12" t="n"/>
      <c r="O55" s="12" t="n"/>
      <c r="P55" s="12" t="n"/>
      <c r="Q55" s="12" t="n"/>
      <c r="R55" s="12" t="n"/>
      <c r="S55" s="12" t="n"/>
      <c r="T55" s="20" t="n"/>
      <c r="U55" s="14" t="n"/>
      <c r="V55" s="14" t="n"/>
      <c r="W55" s="21" t="n"/>
      <c r="X55" s="14" t="n"/>
      <c r="Y55" s="12" t="n"/>
      <c r="Z55" s="12" t="n"/>
      <c r="AA55" s="12" t="n"/>
      <c r="AB55" s="12" t="n"/>
      <c r="AC55" s="12" t="n"/>
      <c r="AD55" s="12" t="n"/>
      <c r="AE55" s="12" t="n"/>
      <c r="AF55" s="12" t="n"/>
      <c r="AG55" s="12" t="n"/>
      <c r="AH55" s="119" t="n"/>
      <c r="AI55" s="12" t="n"/>
      <c r="AJ55" s="12" t="n"/>
      <c r="AK55" s="12" t="n"/>
      <c r="AL55" s="12" t="n"/>
      <c r="AM55" s="1" t="n"/>
      <c r="AN55" s="1" t="n"/>
      <c r="AO55" s="1" t="n"/>
      <c r="AP55" s="1" t="n"/>
      <c r="AQ55" s="1" t="n"/>
      <c r="AR55" s="1" t="n"/>
      <c r="AS55" s="1" t="n"/>
      <c r="AT55" s="1" t="n"/>
    </row>
    <row r="56" ht="14.25" customHeight="1" s="184">
      <c r="A56" s="12" t="n"/>
      <c r="B56" s="12" t="inlineStr">
        <is>
          <t>1.4.1</t>
        </is>
      </c>
      <c r="C56" s="12" t="inlineStr">
        <is>
          <t>Terwujudnya Penyediaan Data dan Insight Statistik Lintas Sektor yang Berkualitas</t>
        </is>
      </c>
      <c r="D56" s="12" t="n"/>
      <c r="E56" s="12" t="n"/>
      <c r="F56" s="12" t="n"/>
      <c r="G56" s="12" t="n"/>
      <c r="H56" s="13" t="n"/>
      <c r="I56" s="13" t="n"/>
      <c r="J56" s="13" t="n"/>
      <c r="K56" s="12" t="n"/>
      <c r="L56" s="12" t="n"/>
      <c r="M56" s="12" t="n"/>
      <c r="N56" s="12" t="n"/>
      <c r="O56" s="12" t="n"/>
      <c r="P56" s="12" t="n"/>
      <c r="Q56" s="12" t="n"/>
      <c r="R56" s="12" t="n"/>
      <c r="S56" s="12" t="n"/>
      <c r="T56" s="12" t="n"/>
      <c r="U56" s="14" t="n"/>
      <c r="V56" s="14" t="n"/>
      <c r="W56" s="14" t="n"/>
      <c r="X56" s="14" t="n"/>
      <c r="Y56" s="14" t="n"/>
      <c r="Z56" s="14" t="n"/>
      <c r="AA56" s="14" t="n"/>
      <c r="AB56" s="14" t="n"/>
      <c r="AC56" s="12" t="n"/>
      <c r="AD56" s="12" t="n"/>
      <c r="AE56" s="12" t="n"/>
      <c r="AF56" s="12" t="n"/>
      <c r="AG56" s="12" t="n"/>
      <c r="AH56" s="119" t="n"/>
      <c r="AI56" s="12" t="n"/>
      <c r="AJ56" s="15" t="n"/>
      <c r="AK56" s="15" t="n"/>
      <c r="AL56" s="15" t="n"/>
      <c r="AM56" s="1" t="n"/>
      <c r="AN56" s="1" t="n"/>
      <c r="AO56" s="1" t="n"/>
      <c r="AP56" s="1" t="n"/>
      <c r="AQ56" s="1" t="n"/>
      <c r="AR56" s="1" t="n"/>
      <c r="AS56" s="1" t="n"/>
      <c r="AT56" s="1" t="n"/>
    </row>
    <row r="57" ht="325.5" customHeight="1" s="184">
      <c r="A57" s="12" t="n"/>
      <c r="B57" s="12" t="n"/>
      <c r="C57" s="12" t="n"/>
      <c r="D57" s="12" t="inlineStr">
        <is>
          <t>1.4.1.1</t>
        </is>
      </c>
      <c r="E57" s="210" t="inlineStr">
        <is>
          <t>Persentase Publikasi/Laporan Neraca Produksi yang Berkualitas</t>
        </is>
      </c>
      <c r="F57" s="199" t="n"/>
      <c r="G57" s="200" t="n"/>
      <c r="H57" s="13" t="inlineStr">
        <is>
          <t>IKU</t>
        </is>
      </c>
      <c r="I57" s="13" t="inlineStr">
        <is>
          <t>Tahunan</t>
        </is>
      </c>
      <c r="J57" s="13" t="inlineStr">
        <is>
          <t>%</t>
        </is>
      </c>
      <c r="K57" s="12">
        <f>IF(OR(K59=0,ISBLANK(K59)),0,K58/K59*100)</f>
        <v/>
      </c>
      <c r="L57" s="12" t="inlineStr">
        <is>
          <t>Persen</t>
        </is>
      </c>
      <c r="M57" s="12">
        <f>IF(OR(M59=0,ISBLANK(M59)),0,M58/M59*100)</f>
        <v/>
      </c>
      <c r="N57" s="12">
        <f>IF(OR(N59=0,ISBLANK(N59)),0,N58/N59*100)</f>
        <v/>
      </c>
      <c r="O57" s="12">
        <f>IF(OR(O59=0,ISBLANK(O59)),0,O58/O59*100)</f>
        <v/>
      </c>
      <c r="P57" s="12">
        <f>IF(OR(P59=0,ISBLANK(P59)),0,P58/P59*100)</f>
        <v/>
      </c>
      <c r="Q57" s="12">
        <f>IF(OR(Q59=0,ISBLANK(Q59)),0,Q58/Q59*100)</f>
        <v/>
      </c>
      <c r="R57" s="12">
        <f>IF(OR(R59=0,ISBLANK(R59)),0,R58/R59*100)</f>
        <v/>
      </c>
      <c r="S57" s="12">
        <f>IF(OR(S59=0,ISBLANK(S59)),0,S58/S59*100)</f>
        <v/>
      </c>
      <c r="T57" s="12">
        <f>IF(OR(T59=0,ISBLANK(T59)),0,T58/T59*100)</f>
        <v/>
      </c>
      <c r="U57" s="14">
        <f>IF(OR(M57=0, ISBLANK(M57)), 0, IF((Q57/M57*100)&gt;120,120,(Q57/M57*100)))</f>
        <v/>
      </c>
      <c r="V57" s="14">
        <f>IF(OR(N57=0, ISBLANK(N57)), 0, IF((R57/N57*100)&gt;120,120,(R57/N57*100)))</f>
        <v/>
      </c>
      <c r="W57" s="14">
        <f>IF(OR(O57=0, ISBLANK(O57)), 0, IF((S57/O57*100)&gt;120,120,(S57/O57*100)))</f>
        <v/>
      </c>
      <c r="X57" s="14">
        <f>IF(OR(P57=0, ISBLANK(P57)), 0, IF((T57/P57*100)&gt;120,120,(T57/P57*100)))</f>
        <v/>
      </c>
      <c r="Y57" s="14">
        <f>IF(OR($K57=0, ISBLANK($K57)), 0, IF((Q57/$K57*100)&gt;120,120,(Q57/$K57*100)))</f>
        <v/>
      </c>
      <c r="Z57" s="14">
        <f>IF(OR($K57=0, ISBLANK($K57)), 0, IF((R57/$K57*100)&gt;120,120,(R57/$K57*100)))</f>
        <v/>
      </c>
      <c r="AA57" s="14">
        <f>IF(OR($K57=0, ISBLANK($K57)), 0, IF((S57/$K57*100)&gt;120,120,(S57/$K57*100)))</f>
        <v/>
      </c>
      <c r="AB57" s="14">
        <f>IF(OR($K57=0, ISBLANK($K57)), 0, IF((T57/$K57*100)&gt;120,120,(T57/$K57*100)))</f>
        <v/>
      </c>
      <c r="AC57" s="76" t="n"/>
      <c r="AD57" s="76" t="n"/>
      <c r="AE57" s="76" t="n"/>
      <c r="AF57" s="16" t="n"/>
      <c r="AG57" s="85" t="n"/>
      <c r="AH57" s="117" t="n"/>
      <c r="AI57" s="123" t="n"/>
      <c r="AJ57" s="17">
        <f>IF(AB57&gt;=110,"110",AB57)</f>
        <v/>
      </c>
      <c r="AK57" s="18">
        <f>IF(E$5="AA/Sangat Memuaskan","0%",IF(E$5="A/Memuaskan","0%",IF(E$5="BB/Sangat Baik","10%",IF(E$5="B/Baik","15%",IF(E$5="CC/Cukup (Memadai)","20%",IF(E$5="C/Kurang","30%","30%"))))))</f>
        <v/>
      </c>
      <c r="AL57" s="15">
        <f>AJ57*(100%-AK57)</f>
        <v/>
      </c>
      <c r="AM57" s="1" t="n"/>
      <c r="AN57" s="1" t="n"/>
      <c r="AO57" s="1" t="n"/>
      <c r="AP57" s="1" t="n"/>
      <c r="AQ57" s="1" t="n"/>
      <c r="AR57" s="1" t="n"/>
      <c r="AS57" s="1" t="n"/>
      <c r="AT57" s="1" t="n"/>
    </row>
    <row r="58" ht="14.25" customHeight="1" s="184">
      <c r="A58" s="12" t="n"/>
      <c r="B58" s="12" t="n"/>
      <c r="C58" s="12" t="n"/>
      <c r="D58" s="12" t="n"/>
      <c r="E58" s="210" t="inlineStr">
        <is>
          <t>X: Jumlah Publikasi/Laporan Neraca Produksi yang berkualitas</t>
        </is>
      </c>
      <c r="F58" s="199" t="n"/>
      <c r="G58" s="200" t="n"/>
      <c r="H58" s="13" t="n"/>
      <c r="I58" s="13" t="n"/>
      <c r="J58" s="13" t="n"/>
      <c r="K58" s="16" t="n">
        <v>3</v>
      </c>
      <c r="L58" s="13" t="n"/>
      <c r="M58" s="16" t="n">
        <v>0</v>
      </c>
      <c r="N58" s="16" t="n">
        <v>0</v>
      </c>
      <c r="O58" s="16" t="n">
        <v>0</v>
      </c>
      <c r="P58" s="16" t="n">
        <v>3</v>
      </c>
      <c r="Q58" s="16" t="n"/>
      <c r="R58" s="16" t="n"/>
      <c r="S58" s="16" t="n"/>
      <c r="T58" s="16" t="n"/>
      <c r="U58" s="19" t="n"/>
      <c r="V58" s="19" t="n"/>
      <c r="W58" s="19" t="n"/>
      <c r="X58" s="19" t="n"/>
      <c r="Y58" s="19" t="n"/>
      <c r="Z58" s="19" t="n"/>
      <c r="AA58" s="19" t="n"/>
      <c r="AB58" s="19" t="n"/>
      <c r="AC58" s="19" t="n"/>
      <c r="AD58" s="19" t="n"/>
      <c r="AE58" s="19" t="n"/>
      <c r="AF58" s="19" t="n"/>
      <c r="AG58" s="19" t="n"/>
      <c r="AH58" s="118" t="n"/>
      <c r="AI58" s="19" t="n"/>
      <c r="AJ58" s="19" t="n"/>
      <c r="AK58" s="19" t="n"/>
      <c r="AL58" s="19" t="n"/>
      <c r="AM58" s="1" t="n"/>
      <c r="AN58" s="1" t="n"/>
      <c r="AO58" s="1" t="n"/>
      <c r="AP58" s="1" t="n"/>
      <c r="AQ58" s="1" t="n"/>
      <c r="AR58" s="1" t="n"/>
      <c r="AS58" s="1" t="n"/>
      <c r="AT58" s="1" t="n"/>
    </row>
    <row r="59" ht="15.75" customHeight="1" s="184">
      <c r="A59" s="12" t="n"/>
      <c r="B59" s="12" t="n"/>
      <c r="C59" s="12" t="n"/>
      <c r="D59" s="12" t="n"/>
      <c r="E59" s="210" t="inlineStr">
        <is>
          <t>Y: Jumlah seluruh Publikasi/Laporan Neraca Produksi yang dihasilkan</t>
        </is>
      </c>
      <c r="F59" s="199" t="n"/>
      <c r="G59" s="200" t="n"/>
      <c r="H59" s="13" t="n"/>
      <c r="I59" s="13" t="n"/>
      <c r="J59" s="13" t="n"/>
      <c r="K59" s="16" t="n">
        <v>3</v>
      </c>
      <c r="L59" s="13" t="n"/>
      <c r="M59" s="16" t="n">
        <v>3</v>
      </c>
      <c r="N59" s="16" t="n">
        <v>3</v>
      </c>
      <c r="O59" s="16" t="n">
        <v>3</v>
      </c>
      <c r="P59" s="16" t="n">
        <v>3</v>
      </c>
      <c r="Q59" s="16" t="n"/>
      <c r="R59" s="16" t="n"/>
      <c r="S59" s="16" t="n"/>
      <c r="T59" s="16" t="n"/>
      <c r="U59" s="19" t="n"/>
      <c r="V59" s="19" t="n"/>
      <c r="W59" s="19" t="n"/>
      <c r="X59" s="19" t="n"/>
      <c r="Y59" s="19" t="n"/>
      <c r="Z59" s="19" t="n"/>
      <c r="AA59" s="19" t="n"/>
      <c r="AB59" s="19" t="n"/>
      <c r="AC59" s="19" t="n"/>
      <c r="AD59" s="19" t="n"/>
      <c r="AE59" s="19" t="n"/>
      <c r="AF59" s="19" t="n"/>
      <c r="AG59" s="19" t="n"/>
      <c r="AH59" s="118" t="n"/>
      <c r="AI59" s="19" t="n"/>
      <c r="AJ59" s="19" t="n"/>
      <c r="AK59" s="19" t="n"/>
      <c r="AL59" s="19" t="n"/>
      <c r="AM59" s="1" t="n"/>
      <c r="AN59" s="1" t="n"/>
      <c r="AO59" s="1" t="n"/>
      <c r="AP59" s="1" t="n"/>
      <c r="AQ59" s="1" t="n"/>
      <c r="AR59" s="1" t="n"/>
      <c r="AS59" s="1" t="n"/>
      <c r="AT59" s="1" t="n"/>
    </row>
    <row r="60" ht="15.75" customHeight="1" s="184">
      <c r="A60" s="12" t="n"/>
      <c r="B60" s="12" t="n"/>
      <c r="C60" s="12" t="n"/>
      <c r="D60" s="12" t="n"/>
      <c r="E60" s="22" t="n"/>
      <c r="F60" s="23" t="n"/>
      <c r="G60" s="147" t="n"/>
      <c r="H60" s="13" t="n"/>
      <c r="I60" s="13" t="n"/>
      <c r="J60" s="13" t="n"/>
      <c r="K60" s="12" t="n"/>
      <c r="L60" s="13"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19" t="n"/>
      <c r="AI60" s="12" t="n"/>
      <c r="AJ60" s="12" t="n"/>
      <c r="AK60" s="12" t="n"/>
      <c r="AL60" s="12" t="n"/>
      <c r="AM60" s="1" t="n"/>
      <c r="AN60" s="1" t="n"/>
      <c r="AO60" s="1" t="n"/>
      <c r="AP60" s="1" t="n"/>
      <c r="AQ60" s="1" t="n"/>
      <c r="AR60" s="1" t="n"/>
      <c r="AS60" s="1" t="n"/>
      <c r="AT60" s="1" t="n"/>
    </row>
    <row r="61" ht="173.25" customHeight="1" s="184">
      <c r="A61" s="12" t="n"/>
      <c r="B61" s="12" t="n"/>
      <c r="C61" s="12" t="n"/>
      <c r="D61" s="12" t="inlineStr">
        <is>
          <t>1.4.1.2</t>
        </is>
      </c>
      <c r="E61" s="210" t="inlineStr">
        <is>
          <t>Persentase Publikasi/Laporan Neraca Pengeluaran yang Berkualitas</t>
        </is>
      </c>
      <c r="F61" s="199" t="n"/>
      <c r="G61" s="200" t="n"/>
      <c r="H61" s="13" t="inlineStr">
        <is>
          <t>IKU</t>
        </is>
      </c>
      <c r="I61" s="13" t="inlineStr">
        <is>
          <t>Tahunan</t>
        </is>
      </c>
      <c r="J61" s="13" t="inlineStr">
        <is>
          <t>%</t>
        </is>
      </c>
      <c r="K61" s="12">
        <f>IF(OR(K63=0,ISBLANK(K63)),0,K62/K63*100)</f>
        <v/>
      </c>
      <c r="L61" s="12" t="inlineStr">
        <is>
          <t>Persen</t>
        </is>
      </c>
      <c r="M61" s="12">
        <f>IF(OR(M63=0,ISBLANK(M63)),0,M62/M63*100)</f>
        <v/>
      </c>
      <c r="N61" s="12">
        <f>IF(OR(N63=0,ISBLANK(N63)),0,N62/N63*100)</f>
        <v/>
      </c>
      <c r="O61" s="12">
        <f>IF(OR(O63=0,ISBLANK(O63)),0,O62/O63*100)</f>
        <v/>
      </c>
      <c r="P61" s="12">
        <f>IF(OR(P63=0,ISBLANK(P63)),0,P62/P63*100)</f>
        <v/>
      </c>
      <c r="Q61" s="12">
        <f>IF(OR(Q63=0,ISBLANK(Q63)),0,Q62/Q63*100)</f>
        <v/>
      </c>
      <c r="R61" s="12">
        <f>IF(OR(R63=0,ISBLANK(R63)),0,R62/R63*100)</f>
        <v/>
      </c>
      <c r="S61" s="12">
        <f>IF(OR(S63=0,ISBLANK(S63)),0,S62/S63*100)</f>
        <v/>
      </c>
      <c r="T61" s="12">
        <f>IF(OR(T63=0,ISBLANK(T63)),0,T62/T63*100)</f>
        <v/>
      </c>
      <c r="U61" s="14">
        <f>IF(OR(M61=0, ISBLANK(M61)), 0, IF((Q61/M61*100)&gt;120,120,(Q61/M61*100)))</f>
        <v/>
      </c>
      <c r="V61" s="14">
        <f>IF(OR(N61=0, ISBLANK(N61)), 0, IF((R61/N61*100)&gt;120,120,(R61/N61*100)))</f>
        <v/>
      </c>
      <c r="W61" s="14">
        <f>IF(OR(O61=0, ISBLANK(O61)), 0, IF((S61/O61*100)&gt;120,120,(S61/O61*100)))</f>
        <v/>
      </c>
      <c r="X61" s="14">
        <f>IF(OR(P61=0, ISBLANK(P61)), 0, IF((T61/P61*100)&gt;120,120,(T61/P61*100)))</f>
        <v/>
      </c>
      <c r="Y61" s="14">
        <f>IF(OR($K61=0, ISBLANK($K61)), 0, IF((Q61/$K61*100)&gt;120,120,(Q61/$K61*100)))</f>
        <v/>
      </c>
      <c r="Z61" s="14">
        <f>IF(OR($K61=0, ISBLANK($K61)), 0, IF((R61/$K61*100)&gt;120,120,(R61/$K61*100)))</f>
        <v/>
      </c>
      <c r="AA61" s="14">
        <f>IF(OR($K61=0, ISBLANK($K61)), 0, IF((S61/$K61*100)&gt;120,120,(S61/$K61*100)))</f>
        <v/>
      </c>
      <c r="AB61" s="14">
        <f>IF(OR($K61=0, ISBLANK($K61)), 0, IF((T61/$K61*100)&gt;120,120,(T61/$K61*100)))</f>
        <v/>
      </c>
      <c r="AC61" s="76" t="n"/>
      <c r="AD61" s="95" t="n"/>
      <c r="AE61" s="95" t="n"/>
      <c r="AF61" s="76" t="n"/>
      <c r="AG61" s="85" t="n"/>
      <c r="AH61" s="117" t="n"/>
      <c r="AI61" s="123" t="n"/>
      <c r="AJ61" s="17">
        <f>IF(AB61&gt;=110,"110",AB61)</f>
        <v/>
      </c>
      <c r="AK61" s="18">
        <f>IF(E$5="AA/Sangat Memuaskan","0%",IF(E$5="A/Memuaskan","0%",IF(E$5="BB/Sangat Baik","10%",IF(E$5="B/Baik","15%",IF(E$5="CC/Cukup (Memadai)","20%",IF(E$5="C/Kurang","30%","30%"))))))</f>
        <v/>
      </c>
      <c r="AL61" s="15">
        <f>AJ61*(100%-AK61)</f>
        <v/>
      </c>
      <c r="AM61" s="1" t="n"/>
      <c r="AN61" s="1" t="n"/>
      <c r="AO61" s="1" t="n"/>
      <c r="AP61" s="1" t="n"/>
      <c r="AQ61" s="1" t="n"/>
      <c r="AR61" s="1" t="n"/>
      <c r="AS61" s="1" t="n"/>
      <c r="AT61" s="1" t="n"/>
    </row>
    <row r="62" ht="15" customHeight="1" s="184">
      <c r="A62" s="12" t="n"/>
      <c r="B62" s="12" t="n"/>
      <c r="C62" s="12" t="n"/>
      <c r="D62" s="12" t="n"/>
      <c r="E62" s="210" t="inlineStr">
        <is>
          <t xml:space="preserve">X: Jumlah Publikasi/Laporan Neraca Pengeluaran yang berkualitas </t>
        </is>
      </c>
      <c r="F62" s="199" t="n"/>
      <c r="G62" s="200" t="n"/>
      <c r="H62" s="13" t="n"/>
      <c r="I62" s="13" t="n"/>
      <c r="J62" s="13" t="n"/>
      <c r="K62" s="16" t="n">
        <v>5</v>
      </c>
      <c r="L62" s="13" t="n"/>
      <c r="M62" s="16" t="n">
        <v>0</v>
      </c>
      <c r="N62" s="16" t="n">
        <v>0</v>
      </c>
      <c r="O62" s="16" t="n">
        <v>0</v>
      </c>
      <c r="P62" s="16" t="n">
        <v>5</v>
      </c>
      <c r="Q62" s="16" t="n"/>
      <c r="R62" s="16" t="n"/>
      <c r="S62" s="16" t="n"/>
      <c r="T62" s="16" t="n"/>
      <c r="U62" s="19" t="n"/>
      <c r="V62" s="19" t="n"/>
      <c r="W62" s="19" t="n"/>
      <c r="X62" s="19" t="n"/>
      <c r="Y62" s="19" t="n"/>
      <c r="Z62" s="19" t="n"/>
      <c r="AA62" s="19" t="n"/>
      <c r="AB62" s="19" t="n"/>
      <c r="AC62" s="19" t="n"/>
      <c r="AD62" s="19" t="n"/>
      <c r="AE62" s="19" t="n"/>
      <c r="AF62" s="19" t="n"/>
      <c r="AG62" s="19" t="n"/>
      <c r="AH62" s="118" t="n"/>
      <c r="AI62" s="19" t="n"/>
      <c r="AJ62" s="19" t="n"/>
      <c r="AK62" s="19" t="n"/>
      <c r="AL62" s="19" t="n"/>
      <c r="AM62" s="1" t="n"/>
      <c r="AN62" s="1" t="n"/>
      <c r="AO62" s="1" t="n"/>
      <c r="AP62" s="1" t="n"/>
      <c r="AQ62" s="1" t="n"/>
      <c r="AR62" s="1" t="n"/>
      <c r="AS62" s="1" t="n"/>
      <c r="AT62" s="1" t="n"/>
    </row>
    <row r="63" ht="15" customHeight="1" s="184">
      <c r="A63" s="12" t="n"/>
      <c r="B63" s="12" t="n"/>
      <c r="C63" s="12" t="n"/>
      <c r="D63" s="12" t="n"/>
      <c r="E63" s="213" t="inlineStr">
        <is>
          <t>Y: Jumlah seluruh Publikasi/Laporan Neraca Pengeluaran yang dihasilkan</t>
        </is>
      </c>
      <c r="F63" s="199" t="n"/>
      <c r="G63" s="200" t="n"/>
      <c r="H63" s="13" t="n"/>
      <c r="I63" s="13" t="n"/>
      <c r="J63" s="13" t="n"/>
      <c r="K63" s="16" t="n">
        <v>5</v>
      </c>
      <c r="L63" s="13" t="n"/>
      <c r="M63" s="16" t="n">
        <v>5</v>
      </c>
      <c r="N63" s="16" t="n">
        <v>5</v>
      </c>
      <c r="O63" s="16" t="n">
        <v>5</v>
      </c>
      <c r="P63" s="16" t="n">
        <v>5</v>
      </c>
      <c r="Q63" s="16" t="n"/>
      <c r="R63" s="16" t="n"/>
      <c r="S63" s="16" t="n"/>
      <c r="T63" s="16" t="n"/>
      <c r="U63" s="19" t="n"/>
      <c r="V63" s="19" t="n"/>
      <c r="W63" s="19" t="n"/>
      <c r="X63" s="19" t="n"/>
      <c r="Y63" s="19" t="n"/>
      <c r="Z63" s="19" t="n"/>
      <c r="AA63" s="19" t="n"/>
      <c r="AB63" s="19" t="n"/>
      <c r="AC63" s="19" t="n"/>
      <c r="AD63" s="19" t="n"/>
      <c r="AE63" s="19" t="n"/>
      <c r="AF63" s="19" t="n"/>
      <c r="AG63" s="19" t="n"/>
      <c r="AH63" s="118" t="n"/>
      <c r="AI63" s="19" t="n"/>
      <c r="AJ63" s="19" t="n"/>
      <c r="AK63" s="19" t="n"/>
      <c r="AL63" s="19" t="n"/>
      <c r="AM63" s="1" t="n"/>
      <c r="AN63" s="1" t="n"/>
      <c r="AO63" s="1" t="n"/>
      <c r="AP63" s="1" t="n"/>
      <c r="AQ63" s="1" t="n"/>
      <c r="AR63" s="1" t="n"/>
      <c r="AS63" s="1" t="n"/>
      <c r="AT63" s="1" t="n"/>
    </row>
    <row r="64" ht="15.75" customHeight="1" s="184">
      <c r="A64" s="12" t="n"/>
      <c r="B64" s="12" t="n"/>
      <c r="C64" s="12" t="n"/>
      <c r="D64" s="12" t="n"/>
      <c r="E64" s="22" t="n"/>
      <c r="F64" s="23" t="n"/>
      <c r="G64" s="147" t="n"/>
      <c r="H64" s="13" t="n"/>
      <c r="I64" s="13" t="n"/>
      <c r="J64" s="13" t="n"/>
      <c r="K64" s="12" t="n"/>
      <c r="L64" s="13"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19" t="n"/>
      <c r="AI64" s="12" t="n"/>
      <c r="AJ64" s="12" t="n"/>
      <c r="AK64" s="12" t="n"/>
      <c r="AL64" s="12" t="n"/>
      <c r="AM64" s="1" t="n"/>
      <c r="AN64" s="1" t="n"/>
      <c r="AO64" s="1" t="n"/>
      <c r="AP64" s="1" t="n"/>
      <c r="AQ64" s="1" t="n"/>
      <c r="AR64" s="1" t="n"/>
      <c r="AS64" s="1" t="n"/>
      <c r="AT64" s="1" t="n"/>
    </row>
    <row r="65" ht="54" customHeight="1" s="184">
      <c r="A65" s="12" t="n"/>
      <c r="B65" s="12" t="n"/>
      <c r="C65" s="12" t="n"/>
      <c r="D65" s="12" t="inlineStr">
        <is>
          <t>1.4.1.3</t>
        </is>
      </c>
      <c r="E65" s="210" t="inlineStr">
        <is>
          <t>Persentase Publikasi/Laporan Analisis Statistik dan Neraca Satelit yang Berkualitas</t>
        </is>
      </c>
      <c r="F65" s="199" t="n"/>
      <c r="G65" s="200" t="n"/>
      <c r="H65" s="13" t="inlineStr">
        <is>
          <t>IKU</t>
        </is>
      </c>
      <c r="I65" s="13" t="inlineStr">
        <is>
          <t>Tahunan</t>
        </is>
      </c>
      <c r="J65" s="13" t="inlineStr">
        <is>
          <t>%</t>
        </is>
      </c>
      <c r="K65" s="12">
        <f>IF(OR(K67=0,ISBLANK(K67)),0,K66/K67*100)</f>
        <v/>
      </c>
      <c r="L65" s="12" t="inlineStr">
        <is>
          <t>Persen</t>
        </is>
      </c>
      <c r="M65" s="12">
        <f>IF(OR(M67=0,ISBLANK(M67)),0,M66/M67*100)</f>
        <v/>
      </c>
      <c r="N65" s="12">
        <f>IF(OR(N67=0,ISBLANK(N67)),0,N66/N67*100)</f>
        <v/>
      </c>
      <c r="O65" s="12">
        <f>IF(OR(O67=0,ISBLANK(O67)),0,O66/O67*100)</f>
        <v/>
      </c>
      <c r="P65" s="12">
        <f>IF(OR(P67=0,ISBLANK(P67)),0,P66/P67*100)</f>
        <v/>
      </c>
      <c r="Q65" s="12">
        <f>IF(OR(Q67=0,ISBLANK(Q67)),0,Q66/Q67*100)</f>
        <v/>
      </c>
      <c r="R65" s="12">
        <f>IF(OR(R67=0,ISBLANK(R67)),0,R66/R67*100)</f>
        <v/>
      </c>
      <c r="S65" s="12">
        <f>IF(OR(S67=0,ISBLANK(S67)),0,S66/S67*100)</f>
        <v/>
      </c>
      <c r="T65" s="12">
        <f>IF(OR(T67=0,ISBLANK(T67)),0,T66/T67*100)</f>
        <v/>
      </c>
      <c r="U65" s="14">
        <f>IF(OR(M65=0, ISBLANK(M65)), 0, IF((Q65/M65*100)&gt;120,120,(Q65/M65*100)))</f>
        <v/>
      </c>
      <c r="V65" s="14">
        <f>IF(OR(N65=0, ISBLANK(N65)), 0, IF((R65/N65*100)&gt;120,120,(R65/N65*100)))</f>
        <v/>
      </c>
      <c r="W65" s="14">
        <f>IF(OR(O65=0, ISBLANK(O65)), 0, IF((S65/O65*100)&gt;120,120,(S65/O65*100)))</f>
        <v/>
      </c>
      <c r="X65" s="14">
        <f>IF(OR(P65=0, ISBLANK(P65)), 0, IF((T65/P65*100)&gt;120,120,(T65/P65*100)))</f>
        <v/>
      </c>
      <c r="Y65" s="14">
        <f>IF(OR($K65=0, ISBLANK($K65)), 0, IF((Q65/$K65*100)&gt;120,120,(Q65/$K65*100)))</f>
        <v/>
      </c>
      <c r="Z65" s="14">
        <f>IF(OR($K65=0, ISBLANK($K65)), 0, IF((R65/$K65*100)&gt;120,120,(R65/$K65*100)))</f>
        <v/>
      </c>
      <c r="AA65" s="14">
        <f>IF(OR($K65=0, ISBLANK($K65)), 0, IF((S65/$K65*100)&gt;120,120,(S65/$K65*100)))</f>
        <v/>
      </c>
      <c r="AB65" s="14">
        <f>IF(OR($K65=0, ISBLANK($K65)), 0, IF((T65/$K65*100)&gt;120,120,(T65/$K65*100)))</f>
        <v/>
      </c>
      <c r="AC65" s="76" t="n"/>
      <c r="AD65" s="76" t="n"/>
      <c r="AE65" s="16" t="n"/>
      <c r="AF65" s="16" t="n"/>
      <c r="AG65" s="85" t="n"/>
      <c r="AH65" s="117" t="n"/>
      <c r="AI65" s="123" t="n"/>
      <c r="AJ65" s="17">
        <f>IF(AB65&gt;=110,"110",AB65)</f>
        <v/>
      </c>
      <c r="AK65" s="18">
        <f>IF(E$5="AA/Sangat Memuaskan","0%",IF(E$5="A/Memuaskan","0%",IF(E$5="BB/Sangat Baik","10%",IF(E$5="B/Baik","15%",IF(E$5="CC/Cukup (Memadai)","20%",IF(E$5="C/Kurang","30%","30%"))))))</f>
        <v/>
      </c>
      <c r="AL65" s="15">
        <f>AJ65*(100%-AK65)</f>
        <v/>
      </c>
      <c r="AM65" s="1" t="n"/>
      <c r="AN65" s="1" t="n"/>
      <c r="AO65" s="1" t="n"/>
      <c r="AP65" s="1" t="n"/>
      <c r="AQ65" s="1" t="n"/>
      <c r="AR65" s="1" t="n"/>
      <c r="AS65" s="1" t="n"/>
      <c r="AT65" s="1" t="n"/>
    </row>
    <row r="66" ht="30" customHeight="1" s="184">
      <c r="A66" s="12" t="n"/>
      <c r="B66" s="12" t="n"/>
      <c r="C66" s="12" t="n"/>
      <c r="D66" s="12" t="n"/>
      <c r="E66" s="210" t="inlineStr">
        <is>
          <t xml:space="preserve">X: Jumlah Publikasi/Laporan Analisis Statistik dan Neraca Satelit yang berkualitas </t>
        </is>
      </c>
      <c r="F66" s="199" t="n"/>
      <c r="G66" s="200" t="n"/>
      <c r="H66" s="13" t="n"/>
      <c r="I66" s="13" t="n"/>
      <c r="J66" s="13" t="n"/>
      <c r="K66" s="16" t="n">
        <v>1</v>
      </c>
      <c r="L66" s="13" t="n"/>
      <c r="M66" s="16" t="n"/>
      <c r="N66" s="16" t="n"/>
      <c r="O66" s="16" t="n"/>
      <c r="P66" s="16" t="n"/>
      <c r="Q66" s="16" t="n"/>
      <c r="R66" s="16" t="n"/>
      <c r="S66" s="16" t="n"/>
      <c r="T66" s="16" t="n"/>
      <c r="U66" s="19" t="n"/>
      <c r="V66" s="19" t="n"/>
      <c r="W66" s="19" t="n"/>
      <c r="X66" s="19" t="n"/>
      <c r="Y66" s="19" t="n"/>
      <c r="Z66" s="19" t="n"/>
      <c r="AA66" s="19" t="n"/>
      <c r="AB66" s="19" t="n"/>
      <c r="AC66" s="19" t="n"/>
      <c r="AD66" s="19" t="n"/>
      <c r="AE66" s="19" t="n"/>
      <c r="AF66" s="19" t="n"/>
      <c r="AG66" s="19" t="n"/>
      <c r="AH66" s="118" t="n"/>
      <c r="AI66" s="19" t="n"/>
      <c r="AJ66" s="19" t="n"/>
      <c r="AK66" s="19" t="n"/>
      <c r="AL66" s="19" t="n"/>
      <c r="AM66" s="1" t="n"/>
      <c r="AN66" s="1" t="n"/>
      <c r="AO66" s="1" t="n"/>
      <c r="AP66" s="1" t="n"/>
      <c r="AQ66" s="1" t="n"/>
      <c r="AR66" s="1" t="n"/>
      <c r="AS66" s="1" t="n"/>
      <c r="AT66" s="1" t="n"/>
    </row>
    <row r="67" ht="35.25" customHeight="1" s="184">
      <c r="A67" s="12" t="n"/>
      <c r="B67" s="12" t="n"/>
      <c r="C67" s="12" t="n"/>
      <c r="D67" s="12" t="n"/>
      <c r="E67" s="210" t="inlineStr">
        <is>
          <t>Y: Jumlah seluruh Publikasi/Laporan Analisis Statistik dan Neraca Satelit yang dihasilkan</t>
        </is>
      </c>
      <c r="F67" s="199" t="n"/>
      <c r="G67" s="200" t="n"/>
      <c r="H67" s="13" t="n"/>
      <c r="I67" s="13" t="n"/>
      <c r="J67" s="13" t="n"/>
      <c r="K67" s="16" t="n">
        <v>1</v>
      </c>
      <c r="L67" s="13" t="n"/>
      <c r="M67" s="16" t="n"/>
      <c r="N67" s="16" t="n"/>
      <c r="O67" s="16" t="n"/>
      <c r="P67" s="16" t="n"/>
      <c r="Q67" s="16" t="n"/>
      <c r="R67" s="16" t="n"/>
      <c r="S67" s="16" t="n"/>
      <c r="T67" s="16" t="n"/>
      <c r="U67" s="19" t="n"/>
      <c r="V67" s="19" t="n"/>
      <c r="W67" s="19" t="n"/>
      <c r="X67" s="19" t="n"/>
      <c r="Y67" s="19" t="n"/>
      <c r="Z67" s="19" t="n"/>
      <c r="AA67" s="19" t="n"/>
      <c r="AB67" s="19" t="n"/>
      <c r="AC67" s="19" t="n"/>
      <c r="AD67" s="19" t="n"/>
      <c r="AE67" s="19" t="n"/>
      <c r="AF67" s="19" t="n"/>
      <c r="AG67" s="19" t="n"/>
      <c r="AH67" s="118" t="n"/>
      <c r="AI67" s="19" t="n"/>
      <c r="AJ67" s="19" t="n"/>
      <c r="AK67" s="19" t="n"/>
      <c r="AL67" s="19" t="n"/>
      <c r="AM67" s="1" t="n"/>
      <c r="AN67" s="1" t="n"/>
      <c r="AO67" s="1" t="n"/>
      <c r="AP67" s="1" t="n"/>
      <c r="AQ67" s="1" t="n"/>
      <c r="AR67" s="1" t="n"/>
      <c r="AS67" s="1" t="n"/>
      <c r="AT67" s="1" t="n"/>
    </row>
    <row r="68" ht="15.75" customHeight="1" s="184">
      <c r="A68" s="12" t="n"/>
      <c r="B68" s="12" t="n"/>
      <c r="C68" s="12" t="n"/>
      <c r="D68" s="12" t="n"/>
      <c r="E68" s="136" t="n"/>
      <c r="F68" s="25" t="n"/>
      <c r="G68" s="26" t="n"/>
      <c r="H68" s="13" t="n"/>
      <c r="I68" s="13" t="n"/>
      <c r="J68" s="13" t="n"/>
      <c r="K68" s="12" t="n"/>
      <c r="L68" s="13" t="n"/>
      <c r="M68" s="12" t="n"/>
      <c r="N68" s="12" t="n"/>
      <c r="O68" s="12" t="n"/>
      <c r="P68" s="12" t="n"/>
      <c r="Q68" s="12" t="n"/>
      <c r="R68" s="12" t="n"/>
      <c r="S68" s="12" t="n"/>
      <c r="T68" s="12" t="n"/>
      <c r="U68" s="12" t="n"/>
      <c r="V68" s="12" t="n"/>
      <c r="W68" s="12" t="n"/>
      <c r="X68" s="12" t="n"/>
      <c r="Y68" s="12" t="n"/>
      <c r="Z68" s="12" t="n"/>
      <c r="AA68" s="12" t="n"/>
      <c r="AB68" s="12" t="n"/>
      <c r="AC68" s="12" t="n"/>
      <c r="AD68" s="12" t="n"/>
      <c r="AE68" s="12" t="n"/>
      <c r="AF68" s="12" t="n"/>
      <c r="AG68" s="12" t="n"/>
      <c r="AH68" s="119" t="n"/>
      <c r="AI68" s="12" t="n"/>
      <c r="AJ68" s="12" t="n"/>
      <c r="AK68" s="12" t="n"/>
      <c r="AL68" s="12" t="n"/>
      <c r="AM68" s="1" t="n"/>
      <c r="AN68" s="1" t="n"/>
      <c r="AO68" s="1" t="n"/>
      <c r="AP68" s="1" t="n"/>
      <c r="AQ68" s="1" t="n"/>
      <c r="AR68" s="1" t="n"/>
      <c r="AS68" s="1" t="n"/>
      <c r="AT68" s="1" t="n"/>
    </row>
    <row r="69" ht="14.25" customHeight="1" s="184">
      <c r="A69" s="12" t="inlineStr">
        <is>
          <t>T2: Mewujudkan Penyelenggaraan Sistem Statistik Nasional yang Andal, Efektif, dan Efisien</t>
        </is>
      </c>
      <c r="B69" s="12" t="n"/>
      <c r="C69" s="12" t="n"/>
      <c r="D69" s="12" t="n"/>
      <c r="E69" s="12" t="n"/>
      <c r="F69" s="12" t="n"/>
      <c r="G69" s="12" t="n"/>
      <c r="H69" s="13" t="n"/>
      <c r="I69" s="13" t="n"/>
      <c r="J69" s="13"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19" t="n"/>
      <c r="AI69" s="12" t="n"/>
      <c r="AJ69" s="12" t="n"/>
      <c r="AK69" s="12" t="n"/>
      <c r="AL69" s="12" t="n"/>
      <c r="AM69" s="1" t="n"/>
      <c r="AN69" s="1" t="n"/>
      <c r="AO69" s="1" t="n"/>
      <c r="AP69" s="1" t="n"/>
      <c r="AQ69" s="1" t="n"/>
      <c r="AR69" s="1" t="n"/>
      <c r="AS69" s="1" t="n"/>
      <c r="AT69" s="1" t="n"/>
    </row>
    <row r="70" ht="14.25" customHeight="1" s="184">
      <c r="A70" s="12" t="n"/>
      <c r="B70" s="12" t="inlineStr">
        <is>
          <t>2.1.4</t>
        </is>
      </c>
      <c r="C70" s="12" t="inlineStr">
        <is>
          <t>Terwujudnya Kapasitas Tata Kelola Pemerintah Desa Untuk Menghasilkan Statistik Berkualitas</t>
        </is>
      </c>
      <c r="D70" s="12" t="n"/>
      <c r="E70" s="12" t="n"/>
      <c r="F70" s="12" t="n"/>
      <c r="G70" s="12" t="n"/>
      <c r="H70" s="13" t="n"/>
      <c r="I70" s="13" t="n"/>
      <c r="J70" s="13" t="n"/>
      <c r="K70" s="12" t="n"/>
      <c r="L70" s="12" t="n"/>
      <c r="M70" s="12" t="n"/>
      <c r="N70" s="12" t="n"/>
      <c r="O70" s="12" t="n"/>
      <c r="P70" s="12" t="n"/>
      <c r="Q70" s="12" t="n"/>
      <c r="R70" s="12" t="n"/>
      <c r="S70" s="12" t="n"/>
      <c r="T70" s="12" t="n"/>
      <c r="U70" s="14" t="n"/>
      <c r="V70" s="14" t="n"/>
      <c r="W70" s="14" t="n"/>
      <c r="X70" s="14" t="n"/>
      <c r="Y70" s="14" t="n"/>
      <c r="Z70" s="14" t="n"/>
      <c r="AA70" s="14" t="n"/>
      <c r="AB70" s="14" t="n"/>
      <c r="AC70" s="12" t="n"/>
      <c r="AD70" s="12" t="n"/>
      <c r="AE70" s="12" t="n"/>
      <c r="AF70" s="12" t="n"/>
      <c r="AG70" s="12" t="n"/>
      <c r="AH70" s="119" t="n"/>
      <c r="AI70" s="12" t="n"/>
      <c r="AJ70" s="15" t="n"/>
      <c r="AK70" s="15" t="n"/>
      <c r="AL70" s="15" t="n"/>
      <c r="AM70" s="1" t="n"/>
      <c r="AN70" s="1" t="n"/>
      <c r="AO70" s="1" t="n"/>
      <c r="AP70" s="1" t="n"/>
      <c r="AQ70" s="1" t="n"/>
      <c r="AR70" s="1" t="n"/>
      <c r="AS70" s="1" t="n"/>
      <c r="AT70" s="1" t="n"/>
    </row>
    <row r="71" ht="123" customHeight="1" s="184">
      <c r="A71" s="12" t="n"/>
      <c r="B71" s="12" t="n"/>
      <c r="C71" s="12" t="n"/>
      <c r="D71" s="12" t="inlineStr">
        <is>
          <t>2.1.4.1</t>
        </is>
      </c>
      <c r="E71" s="210" t="inlineStr">
        <is>
          <t>Persentase Kumulatif Desa Yang Berpredikat Desa Cinta Statistik</t>
        </is>
      </c>
      <c r="F71" s="199" t="n"/>
      <c r="G71" s="200" t="n"/>
      <c r="H71" s="13" t="inlineStr">
        <is>
          <t>IKU</t>
        </is>
      </c>
      <c r="I71" s="13" t="inlineStr">
        <is>
          <t>Tahunan</t>
        </is>
      </c>
      <c r="J71" s="13" t="inlineStr">
        <is>
          <t>%</t>
        </is>
      </c>
      <c r="K71" s="14">
        <f>IF(OR(K73=0,ISBLANK(K73)),0,K72/K73*100)</f>
        <v/>
      </c>
      <c r="L71" s="12" t="inlineStr">
        <is>
          <t>Persen</t>
        </is>
      </c>
      <c r="M71" s="12">
        <f>IF(OR(M73=0,ISBLANK(M73)),0,M72/M73*100)</f>
        <v/>
      </c>
      <c r="N71" s="12">
        <f>IF(OR(N73=0,ISBLANK(N73)),0,N72/N73*100)</f>
        <v/>
      </c>
      <c r="O71" s="12">
        <f>IF(OR(O73=0,ISBLANK(O73)),0,O72/O73*100)</f>
        <v/>
      </c>
      <c r="P71" s="12">
        <f>IF(OR(P73=0,ISBLANK(P73)),0,P72/P73*100)</f>
        <v/>
      </c>
      <c r="Q71" s="12">
        <f>IF(OR(Q73=0,ISBLANK(Q73)),0,Q72/Q73*100)</f>
        <v/>
      </c>
      <c r="R71" s="12">
        <f>IF(OR(R73=0,ISBLANK(R73)),0,R72/R73*100)</f>
        <v/>
      </c>
      <c r="S71" s="12">
        <f>IF(OR(S73=0,ISBLANK(S73)),0,S72/S73*100)</f>
        <v/>
      </c>
      <c r="T71" s="12">
        <f>IF(OR(T73=0,ISBLANK(T73)),0,T72/T73*100)</f>
        <v/>
      </c>
      <c r="U71" s="14">
        <f>IF(OR(M71=0, ISBLANK(M71)), 0, IF((Q71/M71*100)&gt;120,120,(Q71/M71*100)))</f>
        <v/>
      </c>
      <c r="V71" s="14">
        <f>IF(OR(N71=0, ISBLANK(N71)), 0, IF((R71/N71*100)&gt;120,120,(R71/N71*100)))</f>
        <v/>
      </c>
      <c r="W71" s="14">
        <f>IF(OR(O71=0, ISBLANK(O71)), 0, IF((S71/O71*100)&gt;120,120,(S71/O71*100)))</f>
        <v/>
      </c>
      <c r="X71" s="14">
        <f>IF(OR(P71=0, ISBLANK(P71)), 0, IF((T71/P71*100)&gt;120,120,(T71/P71*100)))</f>
        <v/>
      </c>
      <c r="Y71" s="14">
        <f>IF(OR($K71=0, ISBLANK($K71)), 0, IF((Q71/$K71*100)&gt;120,120,(Q71/$K71*100)))</f>
        <v/>
      </c>
      <c r="Z71" s="14">
        <f>IF(OR($K71=0, ISBLANK($K71)), 0, IF((R71/$K71*100)&gt;120,120,(R71/$K71*100)))</f>
        <v/>
      </c>
      <c r="AA71" s="14">
        <f>IF(OR($K71=0, ISBLANK($K71)), 0, IF((S71/$K71*100)&gt;120,120,(S71/$K71*100)))</f>
        <v/>
      </c>
      <c r="AB71" s="14">
        <f>IF(OR($K71=0, ISBLANK($K71)), 0, IF((T71/$K71*100)&gt;120,120,(T71/$K71*100)))</f>
        <v/>
      </c>
      <c r="AC71" s="76" t="n"/>
      <c r="AD71" s="76" t="n"/>
      <c r="AE71" s="76" t="n"/>
      <c r="AF71" s="76" t="n"/>
      <c r="AG71" s="85" t="n"/>
      <c r="AH71" s="117" t="n"/>
      <c r="AI71" s="123" t="n"/>
      <c r="AJ71" s="17">
        <f>IF(AB71&gt;=110,"110",AB71)</f>
        <v/>
      </c>
      <c r="AK71" s="18">
        <f>IF(E$5="AA/Sangat Memuaskan","0%",IF(E$5="A/Memuaskan","0%",IF(E$5="BB/Sangat Baik","10%",IF(E$5="B/Baik","15%",IF(E$5="CC/Cukup (Memadai)","20%",IF(E$5="C/Kurang","30%","30%"))))))</f>
        <v/>
      </c>
      <c r="AL71" s="15">
        <f>AJ71*(100%-AK71)</f>
        <v/>
      </c>
      <c r="AM71" s="1" t="n"/>
      <c r="AN71" s="1" t="n"/>
      <c r="AO71" s="1" t="n"/>
      <c r="AP71" s="1" t="n"/>
      <c r="AQ71" s="1" t="n"/>
      <c r="AR71" s="1" t="n"/>
      <c r="AS71" s="1" t="n"/>
      <c r="AT71" s="1" t="n"/>
    </row>
    <row r="72" ht="33" customHeight="1" s="184">
      <c r="A72" s="12" t="n"/>
      <c r="B72" s="12" t="n"/>
      <c r="C72" s="12" t="n"/>
      <c r="D72" s="12" t="n"/>
      <c r="E72" s="210" t="inlineStr">
        <is>
          <t>X: Jumlah Kumulatif dari Tahun-Tahun Sebelumnya dari Desa/Kelurahan/yang setara yang Berpredikat Desa Cinta Statistik</t>
        </is>
      </c>
      <c r="F72" s="199" t="n"/>
      <c r="G72" s="200" t="n"/>
      <c r="H72" s="13" t="n"/>
      <c r="I72" s="13" t="n"/>
      <c r="J72" s="13" t="n"/>
      <c r="K72" s="16" t="n">
        <v>8</v>
      </c>
      <c r="L72" s="13" t="n"/>
      <c r="M72" s="16" t="n">
        <v>5</v>
      </c>
      <c r="N72" s="16" t="n">
        <v>5</v>
      </c>
      <c r="O72" s="16" t="n">
        <v>5</v>
      </c>
      <c r="P72" s="16" t="n">
        <v>8</v>
      </c>
      <c r="Q72" s="16" t="n"/>
      <c r="R72" s="16" t="n"/>
      <c r="S72" s="16" t="n"/>
      <c r="T72" s="16" t="n"/>
      <c r="U72" s="19" t="n"/>
      <c r="V72" s="19" t="n"/>
      <c r="W72" s="19" t="n"/>
      <c r="X72" s="19" t="n"/>
      <c r="Y72" s="19" t="n"/>
      <c r="Z72" s="19" t="n"/>
      <c r="AA72" s="19" t="n"/>
      <c r="AB72" s="19" t="n"/>
      <c r="AC72" s="19" t="n"/>
      <c r="AD72" s="19" t="n"/>
      <c r="AE72" s="19" t="n"/>
      <c r="AF72" s="19" t="n"/>
      <c r="AG72" s="19" t="n"/>
      <c r="AH72" s="118" t="n"/>
      <c r="AI72" s="19" t="n"/>
      <c r="AJ72" s="19" t="n"/>
      <c r="AK72" s="19" t="n"/>
      <c r="AL72" s="19" t="n"/>
      <c r="AM72" s="1" t="n"/>
      <c r="AN72" s="1" t="n"/>
      <c r="AO72" s="1" t="n"/>
      <c r="AP72" s="1" t="n"/>
      <c r="AQ72" s="1" t="n"/>
      <c r="AR72" s="1" t="n"/>
      <c r="AS72" s="1" t="n"/>
      <c r="AT72" s="1" t="n"/>
    </row>
    <row r="73" ht="15.75" customHeight="1" s="184">
      <c r="A73" s="12" t="n"/>
      <c r="B73" s="12" t="n"/>
      <c r="C73" s="12" t="n"/>
      <c r="D73" s="12" t="n"/>
      <c r="E73" s="210" t="inlineStr">
        <is>
          <t>Y: Jumlah Desa/Kelurahan/yang Setara</t>
        </is>
      </c>
      <c r="F73" s="199" t="n"/>
      <c r="G73" s="200" t="n"/>
      <c r="H73" s="13" t="n"/>
      <c r="I73" s="13" t="n"/>
      <c r="J73" s="13" t="n"/>
      <c r="K73" s="16" t="n">
        <v>41</v>
      </c>
      <c r="L73" s="13" t="n"/>
      <c r="M73" s="16" t="n">
        <v>41</v>
      </c>
      <c r="N73" s="16" t="n">
        <v>41</v>
      </c>
      <c r="O73" s="16" t="n">
        <v>41</v>
      </c>
      <c r="P73" s="16" t="n">
        <v>41</v>
      </c>
      <c r="Q73" s="16" t="n"/>
      <c r="R73" s="16" t="n"/>
      <c r="S73" s="16" t="n"/>
      <c r="T73" s="16" t="n"/>
      <c r="U73" s="19" t="n"/>
      <c r="V73" s="19" t="n"/>
      <c r="W73" s="19" t="n"/>
      <c r="X73" s="19" t="n"/>
      <c r="Y73" s="19" t="n"/>
      <c r="Z73" s="19" t="n"/>
      <c r="AA73" s="19" t="n"/>
      <c r="AB73" s="19" t="n"/>
      <c r="AC73" s="19" t="n"/>
      <c r="AD73" s="19" t="n"/>
      <c r="AE73" s="19" t="n"/>
      <c r="AF73" s="19" t="n"/>
      <c r="AG73" s="19" t="n"/>
      <c r="AH73" s="118" t="n"/>
      <c r="AI73" s="19" t="n"/>
      <c r="AJ73" s="19" t="n"/>
      <c r="AK73" s="19" t="n"/>
      <c r="AL73" s="19" t="n"/>
      <c r="AM73" s="1" t="n"/>
      <c r="AN73" s="1" t="n"/>
      <c r="AO73" s="1" t="n"/>
      <c r="AP73" s="1" t="n"/>
      <c r="AQ73" s="1" t="n"/>
      <c r="AR73" s="1" t="n"/>
      <c r="AS73" s="1" t="n"/>
      <c r="AT73" s="1" t="n"/>
    </row>
    <row r="74" ht="15.75" customHeight="1" s="184">
      <c r="A74" s="12" t="n"/>
      <c r="B74" s="12" t="n"/>
      <c r="C74" s="12" t="n"/>
      <c r="D74" s="12" t="n"/>
      <c r="E74" s="136" t="n"/>
      <c r="F74" s="25" t="n"/>
      <c r="G74" s="26" t="n"/>
      <c r="H74" s="13" t="n"/>
      <c r="I74" s="13" t="n"/>
      <c r="J74" s="13" t="n"/>
      <c r="K74" s="16" t="n"/>
      <c r="L74" s="13" t="n"/>
      <c r="M74" s="16" t="n"/>
      <c r="N74" s="16" t="n"/>
      <c r="O74" s="16" t="n"/>
      <c r="P74" s="16" t="n"/>
      <c r="Q74" s="16" t="n"/>
      <c r="R74" s="16" t="n"/>
      <c r="S74" s="16" t="n"/>
      <c r="T74" s="16" t="n"/>
      <c r="U74" s="19" t="n"/>
      <c r="V74" s="19" t="n"/>
      <c r="W74" s="19" t="n"/>
      <c r="X74" s="19" t="n"/>
      <c r="Y74" s="19" t="n"/>
      <c r="Z74" s="19" t="n"/>
      <c r="AA74" s="19" t="n"/>
      <c r="AB74" s="19" t="n"/>
      <c r="AC74" s="19" t="n"/>
      <c r="AD74" s="19" t="n"/>
      <c r="AE74" s="19" t="n"/>
      <c r="AF74" s="19" t="n"/>
      <c r="AG74" s="19" t="n"/>
      <c r="AH74" s="118" t="n"/>
      <c r="AI74" s="19" t="n"/>
      <c r="AJ74" s="19" t="n"/>
      <c r="AK74" s="19" t="n"/>
      <c r="AL74" s="19" t="n"/>
      <c r="AM74" s="1" t="n"/>
      <c r="AN74" s="1" t="n"/>
      <c r="AO74" s="1" t="n"/>
      <c r="AP74" s="1" t="n"/>
      <c r="AQ74" s="1" t="n"/>
      <c r="AR74" s="1" t="n"/>
      <c r="AS74" s="1" t="n"/>
      <c r="AT74" s="1" t="n"/>
    </row>
    <row r="75" ht="14.25" customHeight="1" s="184">
      <c r="A75" s="12" t="n"/>
      <c r="B75" s="12" t="inlineStr">
        <is>
          <t>2.5.1</t>
        </is>
      </c>
      <c r="C75" s="12" t="inlineStr">
        <is>
          <t>Terwujudnya Penguatan Penyelenggaraan Pembinaan Statistik Sektoral Kementerian/Lembaga/Pemerintah Daerah</t>
        </is>
      </c>
      <c r="D75" s="12" t="n"/>
      <c r="E75" s="12" t="n"/>
      <c r="F75" s="12" t="n"/>
      <c r="G75" s="12" t="n"/>
      <c r="H75" s="13" t="n"/>
      <c r="I75" s="13" t="n"/>
      <c r="J75" s="13" t="n"/>
      <c r="K75" s="12" t="n"/>
      <c r="L75" s="12" t="n"/>
      <c r="M75" s="12" t="n"/>
      <c r="N75" s="12" t="n"/>
      <c r="O75" s="12" t="n"/>
      <c r="P75" s="12" t="n"/>
      <c r="Q75" s="12" t="n"/>
      <c r="R75" s="12" t="n"/>
      <c r="S75" s="12" t="n"/>
      <c r="T75" s="12" t="n"/>
      <c r="U75" s="14" t="n"/>
      <c r="V75" s="14" t="n"/>
      <c r="W75" s="14" t="n"/>
      <c r="X75" s="14" t="n"/>
      <c r="Y75" s="14" t="n"/>
      <c r="Z75" s="14" t="n"/>
      <c r="AA75" s="14" t="n"/>
      <c r="AB75" s="14" t="n"/>
      <c r="AC75" s="12" t="n"/>
      <c r="AD75" s="12" t="n"/>
      <c r="AE75" s="12" t="n"/>
      <c r="AF75" s="12" t="n"/>
      <c r="AG75" s="12" t="n"/>
      <c r="AH75" s="119" t="n"/>
      <c r="AI75" s="12" t="n"/>
      <c r="AJ75" s="15" t="n"/>
      <c r="AK75" s="15" t="n"/>
      <c r="AL75" s="15" t="n"/>
      <c r="AM75" s="1" t="n"/>
      <c r="AN75" s="1" t="n"/>
      <c r="AO75" s="1" t="n"/>
      <c r="AP75" s="1" t="n"/>
      <c r="AQ75" s="1" t="n"/>
      <c r="AR75" s="1" t="n"/>
      <c r="AS75" s="1" t="n"/>
      <c r="AT75" s="1" t="n"/>
    </row>
    <row r="76" ht="101.25" customHeight="1" s="184">
      <c r="A76" s="12" t="n"/>
      <c r="B76" s="12" t="n"/>
      <c r="C76" s="12" t="n"/>
      <c r="D76" s="12" t="inlineStr">
        <is>
          <t>2.5.1.1</t>
        </is>
      </c>
      <c r="E76" s="210" t="inlineStr">
        <is>
          <t>Tingkat Penyelenggaraan Pembinaan Statistik Sektoral sesuai standar</t>
        </is>
      </c>
      <c r="F76" s="199" t="n"/>
      <c r="G76" s="200" t="n"/>
      <c r="H76" s="13" t="inlineStr">
        <is>
          <t>IKU</t>
        </is>
      </c>
      <c r="I76" s="13" t="inlineStr">
        <is>
          <t>Triwulanan</t>
        </is>
      </c>
      <c r="J76" s="13" t="inlineStr">
        <is>
          <t>Non %</t>
        </is>
      </c>
      <c r="K76" s="16" t="n">
        <v>108.46</v>
      </c>
      <c r="L76" s="12" t="inlineStr">
        <is>
          <t>Persen</t>
        </is>
      </c>
      <c r="M76" s="16" t="n">
        <v>63.36</v>
      </c>
      <c r="N76" s="16" t="n">
        <v>80.45</v>
      </c>
      <c r="O76" s="16" t="n">
        <v>83.08</v>
      </c>
      <c r="P76" s="16" t="n">
        <v>108.48</v>
      </c>
      <c r="Q76" s="16" t="n"/>
      <c r="R76" s="16" t="n"/>
      <c r="S76" s="16" t="n"/>
      <c r="T76" s="16" t="n"/>
      <c r="U76" s="14">
        <f>IF(OR(M76=0, ISBLANK(M76)), 0, IF((Q76/M76*100)&gt;120,120,(Q76/M76*100)))</f>
        <v/>
      </c>
      <c r="V76" s="14">
        <f>IF(OR(N76=0, ISBLANK(N76)), 0, IF((R76/N76*100)&gt;120,120,(R76/N76*100)))</f>
        <v/>
      </c>
      <c r="W76" s="14">
        <f>IF(OR(O76=0, ISBLANK(O76)), 0, IF((S76/O76*100)&gt;120,120,(S76/O76*100)))</f>
        <v/>
      </c>
      <c r="X76" s="14">
        <f>IF(OR(P76=0, ISBLANK(P76)), 0, IF((T76/P76*100)&gt;120,120,(T76/P76*100)))</f>
        <v/>
      </c>
      <c r="Y76" s="14">
        <f>IF(OR($K76=0, ISBLANK($K76)), 0, IF((Q76/$K76*100)&gt;120,120,(Q76/$K76*100)))</f>
        <v/>
      </c>
      <c r="Z76" s="14">
        <f>IF(OR($K76=0, ISBLANK($K76)), 0, IF((R76/$K76*100)&gt;120,120,(R76/$K76*100)))</f>
        <v/>
      </c>
      <c r="AA76" s="14">
        <f>IF(OR($K76=0, ISBLANK($K76)), 0, IF((S76/$K76*100)&gt;120,120,(S76/$K76*100)))</f>
        <v/>
      </c>
      <c r="AB76" s="14">
        <f>IF(OR($K76=0, ISBLANK($K76)), 0, IF((T76/$K76*100)&gt;120,120,(T76/$K76*100)))</f>
        <v/>
      </c>
      <c r="AC76" s="76" t="n"/>
      <c r="AD76" s="76" t="n"/>
      <c r="AE76" s="76" t="n"/>
      <c r="AF76" s="76" t="n"/>
      <c r="AG76" s="110" t="n"/>
      <c r="AH76" s="117" t="n"/>
      <c r="AI76" s="123" t="n"/>
      <c r="AJ76" s="17">
        <f>IF(AB76&gt;=110,"110",AB76)</f>
        <v/>
      </c>
      <c r="AK76" s="18">
        <f>IF(E$5="AA/Sangat Memuaskan","0%",IF(E$5="A/Memuaskan","0%",IF(E$5="BB/Sangat Baik","10%",IF(E$5="B/Baik","15%",IF(E$5="CC/Cukup (Memadai)","20%",IF(E$5="C/Kurang","30%","30%"))))))</f>
        <v/>
      </c>
      <c r="AL76" s="15">
        <f>AJ76*(100%-AK76)</f>
        <v/>
      </c>
      <c r="AM76" s="1" t="n"/>
      <c r="AN76" s="1" t="n"/>
      <c r="AO76" s="1" t="n"/>
      <c r="AP76" s="1" t="n"/>
      <c r="AQ76" s="1" t="n"/>
      <c r="AR76" s="1" t="n"/>
      <c r="AS76" s="1" t="n"/>
      <c r="AT76" s="1" t="n"/>
    </row>
    <row r="77" ht="14.25" customHeight="1" s="184">
      <c r="A77" s="12" t="n"/>
      <c r="B77" s="12" t="n"/>
      <c r="C77" s="12" t="n"/>
      <c r="D77" s="12" t="n"/>
      <c r="E77" s="12" t="n"/>
      <c r="F77" s="12" t="n"/>
      <c r="G77" s="12" t="n"/>
      <c r="H77" s="13" t="n"/>
      <c r="I77" s="13" t="n"/>
      <c r="J77" s="13" t="n"/>
      <c r="K77" s="12" t="n"/>
      <c r="L77" s="12" t="n"/>
      <c r="M77" s="12" t="n"/>
      <c r="N77" s="12" t="n"/>
      <c r="O77" s="12" t="n"/>
      <c r="P77" s="12" t="n"/>
      <c r="Q77" s="12" t="n"/>
      <c r="R77" s="12" t="n"/>
      <c r="S77" s="12" t="n"/>
      <c r="T77" s="20" t="n"/>
      <c r="U77" s="14" t="n"/>
      <c r="V77" s="14" t="n"/>
      <c r="W77" s="21" t="n"/>
      <c r="X77" s="14" t="n"/>
      <c r="Y77" s="12" t="n"/>
      <c r="Z77" s="12" t="n"/>
      <c r="AA77" s="12" t="n"/>
      <c r="AB77" s="12" t="n"/>
      <c r="AC77" s="12" t="n"/>
      <c r="AD77" s="12" t="n"/>
      <c r="AE77" s="12" t="n"/>
      <c r="AF77" s="12" t="n"/>
      <c r="AG77" s="12" t="n"/>
      <c r="AH77" s="119" t="n"/>
      <c r="AI77" s="12" t="n"/>
      <c r="AJ77" s="12" t="n"/>
      <c r="AK77" s="12" t="n"/>
      <c r="AL77" s="12" t="n"/>
      <c r="AM77" s="1" t="n"/>
      <c r="AN77" s="1" t="n"/>
      <c r="AO77" s="1" t="n"/>
      <c r="AP77" s="1" t="n"/>
      <c r="AQ77" s="1" t="n"/>
      <c r="AR77" s="1" t="n"/>
      <c r="AS77" s="1" t="n"/>
      <c r="AT77" s="1" t="n"/>
    </row>
    <row r="78" ht="14.25" customHeight="1" s="184">
      <c r="A78" s="12" t="n"/>
      <c r="B78" s="12" t="inlineStr">
        <is>
          <t>2.7.1</t>
        </is>
      </c>
      <c r="C78" s="12" t="inlineStr">
        <is>
          <t>Terwujudnya Kemudahan Akses Data BPS</t>
        </is>
      </c>
      <c r="D78" s="12" t="n"/>
      <c r="E78" s="12" t="n"/>
      <c r="F78" s="12" t="n"/>
      <c r="G78" s="12" t="n"/>
      <c r="H78" s="13" t="n"/>
      <c r="I78" s="13" t="n"/>
      <c r="J78" s="13" t="n"/>
      <c r="K78" s="12" t="n"/>
      <c r="L78" s="12" t="n"/>
      <c r="M78" s="12" t="n"/>
      <c r="N78" s="12" t="n"/>
      <c r="O78" s="12" t="n"/>
      <c r="P78" s="12" t="n"/>
      <c r="Q78" s="12" t="n"/>
      <c r="R78" s="12" t="n"/>
      <c r="S78" s="12" t="n"/>
      <c r="T78" s="12" t="n"/>
      <c r="U78" s="14" t="n"/>
      <c r="V78" s="14" t="n"/>
      <c r="W78" s="14" t="n"/>
      <c r="X78" s="14" t="n"/>
      <c r="Y78" s="14" t="n"/>
      <c r="Z78" s="14" t="n"/>
      <c r="AA78" s="14" t="n"/>
      <c r="AB78" s="14" t="n"/>
      <c r="AC78" s="12" t="n"/>
      <c r="AD78" s="12" t="n"/>
      <c r="AE78" s="12" t="n"/>
      <c r="AF78" s="12" t="n"/>
      <c r="AG78" s="12" t="n"/>
      <c r="AH78" s="119" t="n"/>
      <c r="AI78" s="12" t="n"/>
      <c r="AJ78" s="15" t="n"/>
      <c r="AK78" s="15" t="n"/>
      <c r="AL78" s="15" t="n"/>
      <c r="AM78" s="1" t="n"/>
      <c r="AN78" s="1" t="n"/>
      <c r="AO78" s="1" t="n"/>
      <c r="AP78" s="1" t="n"/>
      <c r="AQ78" s="1" t="n"/>
      <c r="AR78" s="1" t="n"/>
      <c r="AS78" s="1" t="n"/>
      <c r="AT78" s="1" t="n"/>
    </row>
    <row r="79" ht="165" customHeight="1" s="184">
      <c r="A79" s="12" t="n"/>
      <c r="B79" s="12" t="n"/>
      <c r="C79" s="12" t="n"/>
      <c r="D79" s="12" t="inlineStr">
        <is>
          <t>2.7.1.1</t>
        </is>
      </c>
      <c r="E79" s="210" t="inlineStr">
        <is>
          <t>Indeks Pelayanan Publik - Penilaian mandiri</t>
        </is>
      </c>
      <c r="F79" s="199" t="n"/>
      <c r="G79" s="200" t="n"/>
      <c r="H79" s="13" t="inlineStr">
        <is>
          <t>IKU</t>
        </is>
      </c>
      <c r="I79" s="13" t="inlineStr">
        <is>
          <t>Triwulanan</t>
        </is>
      </c>
      <c r="J79" s="13" t="inlineStr">
        <is>
          <t>Non %</t>
        </is>
      </c>
      <c r="K79" s="16" t="n">
        <v>4.086</v>
      </c>
      <c r="L79" s="12" t="inlineStr">
        <is>
          <t>Poin</t>
        </is>
      </c>
      <c r="M79" s="16" t="n">
        <v>0</v>
      </c>
      <c r="N79" s="16" t="n">
        <v>0.9816</v>
      </c>
      <c r="O79" s="16" t="n">
        <v>3.8073</v>
      </c>
      <c r="P79" s="16" t="n">
        <v>4.09</v>
      </c>
      <c r="Q79" s="16" t="n"/>
      <c r="R79" s="16" t="n"/>
      <c r="S79" s="16" t="n"/>
      <c r="T79" s="16" t="n"/>
      <c r="U79" s="14">
        <f>IF(OR(M79=0, ISBLANK(M79)), 0, IF((Q79/M79*100)&gt;120,120,(Q79/M79*100)))</f>
        <v/>
      </c>
      <c r="V79" s="14">
        <f>IF(OR(N79=0, ISBLANK(N79)), 0, IF((R79/N79*100)&gt;120,120,(R79/N79*100)))</f>
        <v/>
      </c>
      <c r="W79" s="14">
        <f>IF(OR(O79=0, ISBLANK(O79)), 0, IF((S79/O79*100)&gt;120,120,(S79/O79*100)))</f>
        <v/>
      </c>
      <c r="X79" s="14">
        <f>IF(OR(P79=0, ISBLANK(P79)), 0, IF((T79/P79*100)&gt;120,120,(T79/P79*100)))</f>
        <v/>
      </c>
      <c r="Y79" s="14">
        <f>IF(OR($K79=0, ISBLANK($K79)), 0, IF((Q79/$K79*100)&gt;120,120,(Q79/$K79*100)))</f>
        <v/>
      </c>
      <c r="Z79" s="14">
        <f>IF(OR($K79=0, ISBLANK($K79)), 0, IF((R79/$K79*100)&gt;120,120,(R79/$K79*100)))</f>
        <v/>
      </c>
      <c r="AA79" s="14">
        <f>IF(OR($K79=0, ISBLANK($K79)), 0, IF((S79/$K79*100)&gt;120,120,(S79/$K79*100)))</f>
        <v/>
      </c>
      <c r="AB79" s="14">
        <f>IF(OR($K79=0, ISBLANK($K79)), 0, IF((T79/$K79*100)&gt;120,120,(T79/$K79*100)))</f>
        <v/>
      </c>
      <c r="AC79" s="76" t="n"/>
      <c r="AD79" s="76" t="n"/>
      <c r="AE79" s="76" t="n"/>
      <c r="AF79" s="16" t="n"/>
      <c r="AG79" s="110" t="n"/>
      <c r="AH79" s="117" t="n"/>
      <c r="AI79" s="123" t="n"/>
      <c r="AJ79" s="17">
        <f>IF(AB79&gt;=110,"110",AB79)</f>
        <v/>
      </c>
      <c r="AK79" s="18">
        <f>IF(E$5="AA/Sangat Memuaskan","0%",IF(E$5="A/Memuaskan","0%",IF(E$5="BB/Sangat Baik","10%",IF(E$5="B/Baik","15%",IF(E$5="CC/Cukup (Memadai)","20%",IF(E$5="C/Kurang","30%","30%"))))))</f>
        <v/>
      </c>
      <c r="AL79" s="15">
        <f>AJ79*(100%-AK79)</f>
        <v/>
      </c>
      <c r="AM79" s="1" t="n"/>
      <c r="AN79" s="1" t="n"/>
      <c r="AO79" s="1" t="n"/>
      <c r="AP79" s="1" t="n"/>
      <c r="AQ79" s="1" t="n"/>
      <c r="AR79" s="1" t="n"/>
      <c r="AS79" s="1" t="n"/>
      <c r="AT79" s="1" t="n"/>
    </row>
    <row r="80" ht="14.25" customHeight="1" s="184">
      <c r="A80" s="12" t="n"/>
      <c r="B80" s="12" t="n"/>
      <c r="C80" s="12" t="n"/>
      <c r="D80" s="12" t="n"/>
      <c r="E80" s="12" t="n"/>
      <c r="F80" s="12" t="n"/>
      <c r="G80" s="12" t="n"/>
      <c r="H80" s="13" t="n"/>
      <c r="I80" s="13" t="n"/>
      <c r="J80" s="13" t="n"/>
      <c r="K80" s="12" t="n"/>
      <c r="L80" s="12" t="n"/>
      <c r="M80" s="12" t="n"/>
      <c r="N80" s="12" t="n"/>
      <c r="O80" s="12" t="n"/>
      <c r="P80" s="12" t="n"/>
      <c r="Q80" s="12" t="n"/>
      <c r="R80" s="12" t="n"/>
      <c r="S80" s="12" t="n"/>
      <c r="T80" s="20" t="n"/>
      <c r="U80" s="14" t="n"/>
      <c r="V80" s="14" t="n"/>
      <c r="W80" s="21" t="n"/>
      <c r="X80" s="14" t="n"/>
      <c r="Y80" s="12" t="n"/>
      <c r="Z80" s="12" t="n"/>
      <c r="AA80" s="12" t="n"/>
      <c r="AB80" s="12" t="n"/>
      <c r="AC80" s="12" t="n"/>
      <c r="AD80" s="12" t="n"/>
      <c r="AE80" s="12" t="n"/>
      <c r="AF80" s="12" t="n"/>
      <c r="AG80" s="12" t="n"/>
      <c r="AH80" s="119" t="n"/>
      <c r="AI80" s="12" t="n"/>
      <c r="AJ80" s="12" t="n"/>
      <c r="AK80" s="12" t="n"/>
      <c r="AL80" s="12" t="n"/>
      <c r="AM80" s="1" t="n"/>
      <c r="AN80" s="1" t="n"/>
      <c r="AO80" s="1" t="n"/>
      <c r="AP80" s="1" t="n"/>
      <c r="AQ80" s="1" t="n"/>
      <c r="AR80" s="1" t="n"/>
      <c r="AS80" s="1" t="n"/>
      <c r="AT80" s="1" t="n"/>
    </row>
    <row r="81" ht="14.25" customHeight="1" s="184">
      <c r="A81" s="12" t="inlineStr">
        <is>
          <t>T3: Mewujudkan Tata Kelola Badan Pusat Statistik yang Berkualitas, Akuntabel, Efektif, dan Efisien dalam Menyelenggarakan Statistik</t>
        </is>
      </c>
      <c r="B81" s="12" t="n"/>
      <c r="C81" s="12" t="n"/>
      <c r="D81" s="12" t="n"/>
      <c r="E81" s="12" t="n"/>
      <c r="F81" s="12" t="n"/>
      <c r="G81" s="12" t="n"/>
      <c r="H81" s="13" t="n"/>
      <c r="I81" s="13" t="n"/>
      <c r="J81" s="13"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19" t="n"/>
      <c r="AI81" s="12" t="n"/>
      <c r="AJ81" s="12" t="n"/>
      <c r="AK81" s="12" t="n"/>
      <c r="AL81" s="12" t="n"/>
      <c r="AM81" s="1" t="n"/>
      <c r="AN81" s="1" t="n"/>
      <c r="AO81" s="1" t="n"/>
      <c r="AP81" s="1" t="n"/>
      <c r="AQ81" s="1" t="n"/>
      <c r="AR81" s="1" t="n"/>
      <c r="AS81" s="1" t="n"/>
      <c r="AT81" s="1" t="n"/>
    </row>
    <row r="82" ht="14.25" customHeight="1" s="184">
      <c r="A82" s="12" t="n"/>
      <c r="B82" s="12" t="inlineStr">
        <is>
          <t>3.2.4</t>
        </is>
      </c>
      <c r="C82" s="12" t="inlineStr">
        <is>
          <t>Tersedianya Dukungan Manajemen pada BPS Provinsi dan BPS Kabupaten/Kota</t>
        </is>
      </c>
      <c r="D82" s="12" t="n"/>
      <c r="E82" s="12" t="n"/>
      <c r="F82" s="12" t="n"/>
      <c r="G82" s="12" t="n"/>
      <c r="H82" s="13" t="n"/>
      <c r="I82" s="13" t="n"/>
      <c r="J82" s="13" t="n"/>
      <c r="K82" s="12" t="n"/>
      <c r="L82" s="12" t="n"/>
      <c r="M82" s="12" t="n"/>
      <c r="N82" s="12" t="n"/>
      <c r="O82" s="12" t="n"/>
      <c r="P82" s="12" t="n"/>
      <c r="Q82" s="12" t="n"/>
      <c r="R82" s="12" t="n"/>
      <c r="S82" s="12" t="n"/>
      <c r="T82" s="12" t="n"/>
      <c r="U82" s="14" t="n"/>
      <c r="V82" s="14" t="n"/>
      <c r="W82" s="14" t="n"/>
      <c r="X82" s="14" t="n"/>
      <c r="Y82" s="14" t="n"/>
      <c r="Z82" s="14" t="n"/>
      <c r="AA82" s="14" t="n"/>
      <c r="AB82" s="14" t="n"/>
      <c r="AC82" s="12" t="n"/>
      <c r="AD82" s="12" t="n"/>
      <c r="AE82" s="12" t="n"/>
      <c r="AF82" s="12" t="n"/>
      <c r="AG82" s="12" t="n"/>
      <c r="AH82" s="126" t="n"/>
      <c r="AI82" s="12" t="n"/>
      <c r="AJ82" s="15" t="n"/>
      <c r="AK82" s="15" t="n"/>
      <c r="AL82" s="15" t="n"/>
      <c r="AM82" s="1" t="n"/>
      <c r="AN82" s="1" t="n"/>
      <c r="AO82" s="1" t="n"/>
      <c r="AP82" s="1" t="n"/>
      <c r="AQ82" s="1" t="n"/>
      <c r="AR82" s="1" t="n"/>
      <c r="AS82" s="1" t="n"/>
      <c r="AT82" s="1" t="n"/>
    </row>
    <row r="83" ht="57.75" customHeight="1" s="184">
      <c r="A83" s="12" t="n"/>
      <c r="B83" s="12" t="n"/>
      <c r="C83" s="12" t="n"/>
      <c r="D83" s="12" t="inlineStr">
        <is>
          <t>3.2.4.1</t>
        </is>
      </c>
      <c r="E83" s="210" t="inlineStr">
        <is>
          <t>Nilai SAKIP oleh Inspektorat</t>
        </is>
      </c>
      <c r="F83" s="199" t="n"/>
      <c r="G83" s="200" t="n"/>
      <c r="H83" s="13" t="inlineStr">
        <is>
          <t>IKU</t>
        </is>
      </c>
      <c r="I83" s="13" t="inlineStr">
        <is>
          <t>Tahunan</t>
        </is>
      </c>
      <c r="J83" s="13" t="inlineStr">
        <is>
          <t>Non %</t>
        </is>
      </c>
      <c r="K83" s="16" t="n">
        <v>74.45</v>
      </c>
      <c r="L83" s="12" t="inlineStr">
        <is>
          <t>Poin</t>
        </is>
      </c>
      <c r="M83" s="16" t="n">
        <v>0</v>
      </c>
      <c r="N83" s="16" t="n">
        <v>0</v>
      </c>
      <c r="O83" s="16" t="n">
        <v>0</v>
      </c>
      <c r="P83" s="16" t="n">
        <v>74.45</v>
      </c>
      <c r="Q83" s="16" t="n"/>
      <c r="R83" s="16" t="n"/>
      <c r="S83" s="16" t="n"/>
      <c r="T83" s="16" t="n"/>
      <c r="U83" s="14">
        <f>IF(OR(M83=0, ISBLANK(M83)), 0, IF((Q83/M83*100)&gt;120,120,(Q83/M83*100)))</f>
        <v/>
      </c>
      <c r="V83" s="14">
        <f>IF(OR(N83=0, ISBLANK(N83)), 0, IF((R83/N83*100)&gt;120,120,(R83/N83*100)))</f>
        <v/>
      </c>
      <c r="W83" s="14">
        <f>IF(OR(O83=0, ISBLANK(O83)), 0, IF((S83/O83*100)&gt;120,120,(S83/O83*100)))</f>
        <v/>
      </c>
      <c r="X83" s="14">
        <f>IF(OR(P83=0, ISBLANK(P83)), 0, IF((T83/P83*100)&gt;120,120,(T83/P83*100)))</f>
        <v/>
      </c>
      <c r="Y83" s="14">
        <f>IF(OR($K83=0, ISBLANK($K83)), 0, IF((Q83/$K83*100)&gt;120,120,(Q83/$K83*100)))</f>
        <v/>
      </c>
      <c r="Z83" s="14">
        <f>IF(OR($K83=0, ISBLANK($K83)), 0, IF((R83/$K83*100)&gt;120,120,(R83/$K83*100)))</f>
        <v/>
      </c>
      <c r="AA83" s="14">
        <f>IF(OR($K83=0, ISBLANK($K83)), 0, IF((S83/$K83*100)&gt;120,120,(S83/$K83*100)))</f>
        <v/>
      </c>
      <c r="AB83" s="14">
        <f>IF(OR($K83=0, ISBLANK($K83)), 0, IF((T83/$K83*100)&gt;120,120,(T83/$K83*100)))</f>
        <v/>
      </c>
      <c r="AC83" s="76" t="n"/>
      <c r="AD83" s="76" t="n"/>
      <c r="AE83" s="76" t="n"/>
      <c r="AF83" s="16" t="n"/>
      <c r="AG83" s="124" t="n"/>
      <c r="AH83" s="123" t="n"/>
      <c r="AI83" s="123" t="n"/>
      <c r="AJ83" s="17">
        <f>IF(AB83&gt;=110,"110",AB83)</f>
        <v/>
      </c>
      <c r="AK83" s="18">
        <f>IF(E$5="AA/Sangat Memuaskan","0%",IF(E$5="A/Memuaskan","0%",IF(E$5="BB/Sangat Baik","10%",IF(E$5="B/Baik","15%",IF(E$5="CC/Cukup (Memadai)","20%",IF(E$5="C/Kurang","30%","30%"))))))</f>
        <v/>
      </c>
      <c r="AL83" s="15">
        <f>AJ83*(100%-AK83)</f>
        <v/>
      </c>
      <c r="AM83" s="1" t="n"/>
      <c r="AN83" s="1" t="n"/>
      <c r="AO83" s="1" t="n"/>
      <c r="AP83" s="1" t="n"/>
      <c r="AQ83" s="1" t="n"/>
      <c r="AR83" s="1" t="n"/>
      <c r="AS83" s="1" t="n"/>
      <c r="AT83" s="1" t="n"/>
    </row>
    <row r="84" ht="86.25" customHeight="1" s="184">
      <c r="A84" s="12" t="n"/>
      <c r="B84" s="12" t="n"/>
      <c r="C84" s="12" t="n"/>
      <c r="D84" s="12" t="inlineStr">
        <is>
          <t>3.2.4.2</t>
        </is>
      </c>
      <c r="E84" s="210" t="inlineStr">
        <is>
          <t>Indeks Implementasi BerAKHLAK</t>
        </is>
      </c>
      <c r="F84" s="199" t="n"/>
      <c r="G84" s="200" t="n"/>
      <c r="H84" s="13" t="inlineStr">
        <is>
          <t>IKU</t>
        </is>
      </c>
      <c r="I84" s="13" t="inlineStr">
        <is>
          <t>Tahunan</t>
        </is>
      </c>
      <c r="J84" s="13" t="inlineStr">
        <is>
          <t>Non %</t>
        </is>
      </c>
      <c r="K84" s="16" t="n">
        <v>58.7</v>
      </c>
      <c r="L84" s="12" t="inlineStr">
        <is>
          <t>Persen</t>
        </is>
      </c>
      <c r="M84" s="16" t="n">
        <v>0</v>
      </c>
      <c r="N84" s="16" t="n">
        <v>0</v>
      </c>
      <c r="O84" s="16" t="n">
        <v>0</v>
      </c>
      <c r="P84" s="16" t="n">
        <v>58.7</v>
      </c>
      <c r="Q84" s="16" t="n"/>
      <c r="R84" s="16" t="n"/>
      <c r="S84" s="16" t="n"/>
      <c r="T84" s="16" t="n"/>
      <c r="U84" s="14">
        <f>IF(OR(M84=0, ISBLANK(M84)), 0, IF((Q84/M84*100)&gt;120,120,(Q84/M84*100)))</f>
        <v/>
      </c>
      <c r="V84" s="14">
        <f>IF(OR(N84=0, ISBLANK(N84)), 0, IF((R84/N84*100)&gt;120,120,(R84/N84*100)))</f>
        <v/>
      </c>
      <c r="W84" s="14">
        <f>IF(OR(O84=0, ISBLANK(O84)), 0, IF((S84/O84*100)&gt;120,120,(S84/O84*100)))</f>
        <v/>
      </c>
      <c r="X84" s="14">
        <f>IF(OR(P84=0, ISBLANK(P84)), 0, IF((T84/P84*100)&gt;120,120,(T84/P84*100)))</f>
        <v/>
      </c>
      <c r="Y84" s="14">
        <f>IF(OR($K84=0, ISBLANK($K84)), 0, IF((Q84/$K84*100)&gt;120,120,(Q84/$K84*100)))</f>
        <v/>
      </c>
      <c r="Z84" s="14">
        <f>IF(OR($K84=0, ISBLANK($K84)), 0, IF((R84/$K84*100)&gt;120,120,(R84/$K84*100)))</f>
        <v/>
      </c>
      <c r="AA84" s="14">
        <f>IF(OR($K84=0, ISBLANK($K84)), 0, IF((S84/$K84*100)&gt;120,120,(S84/$K84*100)))</f>
        <v/>
      </c>
      <c r="AB84" s="14">
        <f>IF(OR($K84=0, ISBLANK($K84)), 0, IF((T84/$K84*100)&gt;120,120,(T84/$K84*100)))</f>
        <v/>
      </c>
      <c r="AC84" s="108" t="n"/>
      <c r="AD84" s="108" t="n"/>
      <c r="AE84" s="76" t="n"/>
      <c r="AF84" s="16" t="n"/>
      <c r="AG84" s="125" t="n"/>
      <c r="AH84" s="123" t="n"/>
      <c r="AI84" s="123" t="n"/>
      <c r="AJ84" s="17">
        <f>IF(AB84&gt;=110,"110",AB84)</f>
        <v/>
      </c>
      <c r="AK84" s="18">
        <f>IF(E$5="AA/Sangat Memuaskan","0%",IF(E$5="A/Memuaskan","0%",IF(E$5="BB/Sangat Baik","10%",IF(E$5="B/Baik","15%",IF(E$5="CC/Cukup (Memadai)","20%",IF(E$5="C/Kurang","30%","30%"))))))</f>
        <v/>
      </c>
      <c r="AL84" s="15">
        <f>AJ84*(100%-AK84)</f>
        <v/>
      </c>
      <c r="AM84" s="1" t="n"/>
      <c r="AN84" s="1" t="n"/>
      <c r="AO84" s="1" t="n"/>
      <c r="AP84" s="1" t="n"/>
      <c r="AQ84" s="1" t="n"/>
      <c r="AR84" s="1" t="n"/>
      <c r="AS84" s="1" t="n"/>
      <c r="AT84" s="1" t="n"/>
    </row>
    <row r="85" ht="14.25" customHeight="1" s="184">
      <c r="A85" s="12" t="n"/>
      <c r="B85" s="12" t="n"/>
      <c r="C85" s="12" t="n"/>
      <c r="D85" s="12" t="n"/>
      <c r="E85" s="12" t="n"/>
      <c r="F85" s="12" t="n"/>
      <c r="G85" s="12" t="n"/>
      <c r="H85" s="13" t="n"/>
      <c r="I85" s="13" t="n"/>
      <c r="J85" s="13" t="n"/>
      <c r="K85" s="12" t="n"/>
      <c r="L85" s="12" t="n"/>
      <c r="M85" s="12" t="n"/>
      <c r="N85" s="12" t="n"/>
      <c r="O85" s="12" t="n"/>
      <c r="P85" s="12" t="n"/>
      <c r="Q85" s="12" t="n"/>
      <c r="R85" s="12" t="n"/>
      <c r="S85" s="12" t="n"/>
      <c r="T85" s="12" t="n"/>
      <c r="U85" s="14" t="n"/>
      <c r="V85" s="14" t="n"/>
      <c r="W85" s="14" t="n"/>
      <c r="X85" s="14" t="n"/>
      <c r="Y85" s="14" t="n"/>
      <c r="Z85" s="14" t="n"/>
      <c r="AA85" s="14" t="n"/>
      <c r="AB85" s="14" t="n"/>
      <c r="AC85" s="12" t="n"/>
      <c r="AD85" s="12" t="n"/>
      <c r="AE85" s="12" t="n"/>
      <c r="AF85" s="12" t="n"/>
      <c r="AG85" s="12" t="n"/>
      <c r="AH85" s="127" t="n"/>
      <c r="AI85" s="12" t="n"/>
      <c r="AJ85" s="15" t="n"/>
      <c r="AK85" s="15" t="n"/>
      <c r="AL85" s="15" t="n"/>
      <c r="AM85" s="1" t="n"/>
      <c r="AN85" s="1" t="n"/>
      <c r="AO85" s="1" t="n"/>
      <c r="AP85" s="1" t="n"/>
      <c r="AQ85" s="1" t="n"/>
      <c r="AR85" s="1" t="n"/>
      <c r="AS85" s="1" t="n"/>
      <c r="AT85" s="1" t="n"/>
    </row>
    <row r="86" ht="14.25" customHeight="1" s="184">
      <c r="A86" s="12" t="n"/>
      <c r="B86" s="12" t="n"/>
      <c r="C86" s="12" t="n"/>
      <c r="D86" s="12" t="n"/>
      <c r="E86" s="12" t="n"/>
      <c r="F86" s="12" t="n"/>
      <c r="G86" s="12" t="n"/>
      <c r="H86" s="13" t="n"/>
      <c r="I86" s="13" t="n"/>
      <c r="J86" s="13" t="n"/>
      <c r="K86" s="12" t="n"/>
      <c r="L86" s="12" t="n"/>
      <c r="M86" s="12" t="n"/>
      <c r="N86" s="12" t="n"/>
      <c r="O86" s="12" t="n"/>
      <c r="P86" s="12" t="n"/>
      <c r="Q86" s="12" t="n"/>
      <c r="R86" s="12" t="n"/>
      <c r="S86" s="12" t="n"/>
      <c r="T86" s="12" t="n"/>
      <c r="U86" s="14" t="n"/>
      <c r="V86" s="14" t="n"/>
      <c r="W86" s="14" t="n"/>
      <c r="X86" s="14" t="n"/>
      <c r="Y86" s="14" t="n"/>
      <c r="Z86" s="14" t="n"/>
      <c r="AA86" s="14" t="n"/>
      <c r="AB86" s="14" t="n"/>
      <c r="AC86" s="12" t="n"/>
      <c r="AD86" s="12" t="n"/>
      <c r="AE86" s="12" t="n"/>
      <c r="AF86" s="12" t="n"/>
      <c r="AG86" s="12" t="n"/>
      <c r="AH86" s="12" t="n"/>
      <c r="AI86" s="12" t="n"/>
      <c r="AJ86" s="15" t="n"/>
      <c r="AK86" s="15" t="n"/>
      <c r="AL86" s="27" t="n"/>
      <c r="AM86" s="1" t="n"/>
      <c r="AN86" s="1" t="n"/>
      <c r="AO86" s="1" t="n"/>
      <c r="AP86" s="1" t="n"/>
      <c r="AQ86" s="1" t="n"/>
      <c r="AR86" s="1" t="n"/>
      <c r="AS86" s="1" t="n"/>
      <c r="AT86" s="1" t="n"/>
    </row>
    <row r="87" ht="14.25" customHeight="1" s="184">
      <c r="A87" s="19" t="n"/>
      <c r="B87" s="19" t="n"/>
      <c r="C87" s="19" t="n"/>
      <c r="D87" s="19" t="n"/>
      <c r="E87" s="19" t="n"/>
      <c r="F87" s="19" t="n"/>
      <c r="G87" s="19" t="n"/>
      <c r="H87" s="28" t="n"/>
      <c r="I87" s="28" t="n"/>
      <c r="J87" s="28" t="n"/>
      <c r="K87" s="19" t="n"/>
      <c r="L87" s="19" t="n"/>
      <c r="M87" s="19" t="n"/>
      <c r="N87" s="19" t="n"/>
      <c r="O87" s="19" t="n"/>
      <c r="P87" s="214" t="inlineStr">
        <is>
          <t>Capaian Kinerja IKU</t>
        </is>
      </c>
      <c r="Q87" s="199" t="n"/>
      <c r="R87" s="199" t="n"/>
      <c r="S87" s="199" t="n"/>
      <c r="T87" s="200" t="n"/>
      <c r="U87" s="14">
        <f>IFERROR(AVERAGEIFS(U12:U85,$H12:$H85,"IKU",U12:U85,"&lt;&gt;0"),0)</f>
        <v/>
      </c>
      <c r="V87" s="14">
        <f>IFERROR(AVERAGEIFS(V12:V85,$H12:$H85,"IKU",V12:V85,"&lt;&gt;0"),0)</f>
        <v/>
      </c>
      <c r="W87" s="14">
        <f>IFERROR(AVERAGEIFS(W12:W85,$H12:$H85,"IKU",W12:W85,"&lt;&gt;0"),0)</f>
        <v/>
      </c>
      <c r="X87" s="14">
        <f>IFERROR(AVERAGEIFS(X12:X85,$H12:$H85,"IKU",X12:X85,"&lt;&gt;0"),0)</f>
        <v/>
      </c>
      <c r="Y87" s="14">
        <f>IFERROR(AVERAGEIF($H12:$H85,"IKU",Y12:Y85),0)</f>
        <v/>
      </c>
      <c r="Z87" s="14">
        <f>IFERROR(AVERAGEIF($H12:$H85,"IKU",Z12:Z85),0)</f>
        <v/>
      </c>
      <c r="AA87" s="14">
        <f>IFERROR(AVERAGEIF($H12:$H85,"IKU",AA12:AA85),0)</f>
        <v/>
      </c>
      <c r="AB87" s="14">
        <f>IFERROR(AVERAGEIF($H12:$H85,"IKU",AB12:AB85),0)</f>
        <v/>
      </c>
      <c r="AC87" s="19" t="n"/>
      <c r="AD87" s="19" t="n"/>
      <c r="AE87" s="19" t="n"/>
      <c r="AF87" s="19" t="n"/>
      <c r="AG87" s="19" t="n"/>
      <c r="AH87" s="19" t="n"/>
      <c r="AI87" s="19" t="n"/>
      <c r="AJ87" s="31" t="inlineStr">
        <is>
          <t>Total Capaian PK</t>
        </is>
      </c>
      <c r="AK87" s="200" t="n"/>
      <c r="AL87" s="29">
        <f>AL12+AL17+AL22+AL27+AL32+AL37+AL42+AL47+AL52+AL57+AL71+AL76+AL79+AL83+AL84</f>
        <v/>
      </c>
      <c r="AM87" s="1" t="n"/>
      <c r="AN87" s="1" t="n"/>
      <c r="AO87" s="1" t="n"/>
      <c r="AP87" s="1" t="n"/>
      <c r="AQ87" s="1" t="n"/>
      <c r="AR87" s="1" t="n"/>
      <c r="AS87" s="1" t="n"/>
      <c r="AT87" s="1" t="n"/>
    </row>
    <row r="88" ht="14.25" customHeight="1" s="184">
      <c r="A88" s="19" t="n"/>
      <c r="B88" s="19" t="n"/>
      <c r="C88" s="19" t="n"/>
      <c r="D88" s="19" t="n"/>
      <c r="E88" s="19" t="n"/>
      <c r="F88" s="19" t="n"/>
      <c r="G88" s="19" t="n"/>
      <c r="H88" s="28" t="n"/>
      <c r="I88" s="28" t="n"/>
      <c r="J88" s="28" t="n"/>
      <c r="K88" s="19" t="n"/>
      <c r="L88" s="19" t="n"/>
      <c r="M88" s="19" t="n"/>
      <c r="N88" s="19" t="n"/>
      <c r="O88" s="19" t="n"/>
      <c r="P88" s="214" t="inlineStr">
        <is>
          <t>Capaian Kinerja Sasaran 1.1.1</t>
        </is>
      </c>
      <c r="Q88" s="199" t="n"/>
      <c r="R88" s="199" t="n"/>
      <c r="S88" s="199" t="n"/>
      <c r="T88" s="200" t="n"/>
      <c r="U88" s="19" t="n"/>
      <c r="V88" s="19" t="n"/>
      <c r="W88" s="19" t="n"/>
      <c r="X88" s="19" t="n"/>
      <c r="Y88" s="19" t="n"/>
      <c r="Z88" s="19" t="n"/>
      <c r="AA88" s="19" t="n"/>
      <c r="AB88" s="14">
        <f>IFERROR(AVERAGEIF(H12:H14,"IKU",AB12:AB14),0)</f>
        <v/>
      </c>
      <c r="AC88" s="19" t="n"/>
      <c r="AD88" s="19" t="n"/>
      <c r="AE88" s="19" t="n"/>
      <c r="AF88" s="19" t="n"/>
      <c r="AG88" s="19" t="n"/>
      <c r="AH88" s="19" t="n"/>
      <c r="AI88" s="19" t="n"/>
      <c r="AJ88" s="31" t="inlineStr">
        <is>
          <t>NKO Rata-rata Capaian PK</t>
        </is>
      </c>
      <c r="AK88" s="200" t="n"/>
      <c r="AL88" s="30">
        <f>AVERAGE(AL12,AL17,AL22,AL27,AL32,AL37,AL42,AL47,AL52,AL57,AL71,AL76,AL79,AL83,AL84)</f>
        <v/>
      </c>
      <c r="AM88" s="1" t="n"/>
      <c r="AN88" s="1" t="n"/>
      <c r="AO88" s="1" t="n"/>
      <c r="AP88" s="1" t="n"/>
      <c r="AQ88" s="1" t="n"/>
      <c r="AR88" s="1" t="n"/>
      <c r="AS88" s="1" t="n"/>
      <c r="AT88" s="1" t="n"/>
    </row>
    <row r="89" ht="14.25" customHeight="1" s="184">
      <c r="A89" s="19" t="n"/>
      <c r="B89" s="19" t="n"/>
      <c r="C89" s="19" t="n"/>
      <c r="D89" s="19" t="n"/>
      <c r="E89" s="19" t="n"/>
      <c r="F89" s="19" t="n"/>
      <c r="G89" s="19" t="n"/>
      <c r="H89" s="28" t="n"/>
      <c r="I89" s="28" t="n"/>
      <c r="J89" s="28" t="n"/>
      <c r="K89" s="19" t="n"/>
      <c r="L89" s="19" t="n"/>
      <c r="M89" s="19" t="n"/>
      <c r="N89" s="19" t="n"/>
      <c r="O89" s="19" t="n"/>
      <c r="P89" s="214" t="inlineStr">
        <is>
          <t>Capaian Kinerja Sasaran 1.1.3</t>
        </is>
      </c>
      <c r="Q89" s="199" t="n"/>
      <c r="R89" s="199" t="n"/>
      <c r="S89" s="199" t="n"/>
      <c r="T89" s="200" t="n"/>
      <c r="U89" s="19" t="n"/>
      <c r="V89" s="19" t="n"/>
      <c r="W89" s="19" t="n"/>
      <c r="X89" s="19" t="n"/>
      <c r="Y89" s="19" t="n"/>
      <c r="Z89" s="19" t="n"/>
      <c r="AA89" s="19" t="n"/>
      <c r="AB89" s="14">
        <f>IFERROR(AVERAGEIF(H17:H19,"IKU",AB17:AB19),0)</f>
        <v/>
      </c>
      <c r="AC89" s="19" t="n"/>
      <c r="AD89" s="19" t="n"/>
      <c r="AE89" s="19" t="n"/>
      <c r="AF89" s="19" t="n"/>
      <c r="AG89" s="19" t="n"/>
      <c r="AH89" s="19" t="n"/>
      <c r="AI89" s="19" t="n"/>
      <c r="AJ89" s="31" t="inlineStr">
        <is>
          <t>Predikat PKO</t>
        </is>
      </c>
      <c r="AK89" s="200" t="n"/>
      <c r="AL89" s="31">
        <f>IF(AL88&gt;100, "ISTIMEWA",
IF(AL88&gt;80, "BAIK",
IF(AL88&gt;60, "BUTUH PERBAIKAN",
"BURUK")))</f>
        <v/>
      </c>
      <c r="AM89" s="1" t="n"/>
      <c r="AN89" s="1" t="n"/>
      <c r="AO89" s="1" t="n"/>
      <c r="AP89" s="1" t="n"/>
      <c r="AQ89" s="1" t="n"/>
      <c r="AR89" s="1" t="n"/>
      <c r="AS89" s="1" t="n"/>
      <c r="AT89" s="1" t="n"/>
    </row>
    <row r="90" ht="14.25" customHeight="1" s="184">
      <c r="A90" s="19" t="n"/>
      <c r="B90" s="19" t="n"/>
      <c r="C90" s="19" t="n"/>
      <c r="D90" s="19" t="n"/>
      <c r="E90" s="19" t="n"/>
      <c r="F90" s="19" t="n"/>
      <c r="G90" s="19" t="n"/>
      <c r="H90" s="28" t="n"/>
      <c r="I90" s="28" t="n"/>
      <c r="J90" s="28" t="n"/>
      <c r="K90" s="19" t="n"/>
      <c r="L90" s="19" t="n"/>
      <c r="M90" s="19" t="n"/>
      <c r="N90" s="19" t="n"/>
      <c r="O90" s="19" t="n"/>
      <c r="P90" s="214" t="inlineStr">
        <is>
          <t>Capaian Kinerja Sasaran 1.1.5</t>
        </is>
      </c>
      <c r="Q90" s="199" t="n"/>
      <c r="R90" s="199" t="n"/>
      <c r="S90" s="199" t="n"/>
      <c r="T90" s="200" t="n"/>
      <c r="U90" s="19" t="n"/>
      <c r="V90" s="19" t="n"/>
      <c r="W90" s="19" t="n"/>
      <c r="X90" s="19" t="n"/>
      <c r="Y90" s="19" t="n"/>
      <c r="Z90" s="19" t="n"/>
      <c r="AA90" s="19" t="n"/>
      <c r="AB90" s="14">
        <f>IFERROR(AVERAGEIF(H22:H24,"IKU",AB22:AB24),0)</f>
        <v/>
      </c>
      <c r="AC90" s="19" t="n"/>
      <c r="AD90" s="19" t="n"/>
      <c r="AE90" s="19" t="n"/>
      <c r="AF90" s="19" t="n"/>
      <c r="AG90" s="19" t="n"/>
      <c r="AH90" s="19" t="n"/>
      <c r="AI90" s="19" t="n"/>
      <c r="AJ90" s="19" t="n"/>
      <c r="AK90" s="19" t="n"/>
      <c r="AL90" s="19" t="n"/>
      <c r="AM90" s="1" t="n"/>
      <c r="AN90" s="1" t="n"/>
      <c r="AO90" s="1" t="n"/>
      <c r="AP90" s="1" t="n"/>
      <c r="AQ90" s="1" t="n"/>
      <c r="AR90" s="1" t="n"/>
      <c r="AS90" s="1" t="n"/>
      <c r="AT90" s="1" t="n"/>
    </row>
    <row r="91" ht="14.25" customHeight="1" s="184">
      <c r="A91" s="19" t="n"/>
      <c r="B91" s="19" t="n"/>
      <c r="C91" s="19" t="n"/>
      <c r="D91" s="19" t="n"/>
      <c r="E91" s="19" t="n"/>
      <c r="F91" s="19" t="n"/>
      <c r="G91" s="19" t="n"/>
      <c r="H91" s="28" t="n"/>
      <c r="I91" s="28" t="n"/>
      <c r="J91" s="28" t="n"/>
      <c r="K91" s="19" t="n"/>
      <c r="L91" s="19" t="n"/>
      <c r="M91" s="19" t="n"/>
      <c r="N91" s="19" t="n"/>
      <c r="O91" s="19" t="n"/>
      <c r="P91" s="214" t="inlineStr">
        <is>
          <t>Capaian Kinerja Sasaran 1.2.1</t>
        </is>
      </c>
      <c r="Q91" s="199" t="n"/>
      <c r="R91" s="199" t="n"/>
      <c r="S91" s="199" t="n"/>
      <c r="T91" s="200" t="n"/>
      <c r="U91" s="19" t="n"/>
      <c r="V91" s="19" t="n"/>
      <c r="W91" s="19" t="n"/>
      <c r="X91" s="19" t="n"/>
      <c r="Y91" s="19" t="n"/>
      <c r="Z91" s="19" t="n"/>
      <c r="AA91" s="19" t="n"/>
      <c r="AB91" s="14">
        <f>IFERROR(AVERAGEIF(H27:H29,"IKU",AB27:AB29),0)</f>
        <v/>
      </c>
      <c r="AC91" s="19" t="n"/>
      <c r="AD91" s="19" t="n"/>
      <c r="AE91" s="19" t="n"/>
      <c r="AF91" s="19" t="n"/>
      <c r="AG91" s="19" t="n"/>
      <c r="AH91" s="19" t="n"/>
      <c r="AI91" s="19" t="n"/>
      <c r="AJ91" s="19" t="n"/>
      <c r="AK91" s="19" t="n"/>
      <c r="AL91" s="19" t="n"/>
      <c r="AM91" s="1" t="n"/>
      <c r="AN91" s="1" t="n"/>
      <c r="AO91" s="1" t="n"/>
      <c r="AP91" s="1" t="n"/>
      <c r="AQ91" s="1" t="n"/>
      <c r="AR91" s="1" t="n"/>
      <c r="AS91" s="1" t="n"/>
      <c r="AT91" s="1" t="n"/>
    </row>
    <row r="92" ht="14.25" customHeight="1" s="184">
      <c r="A92" s="19" t="n"/>
      <c r="B92" s="19" t="n"/>
      <c r="C92" s="19" t="n"/>
      <c r="D92" s="19" t="n"/>
      <c r="E92" s="19" t="n"/>
      <c r="F92" s="19" t="n"/>
      <c r="G92" s="19" t="n"/>
      <c r="H92" s="28" t="n"/>
      <c r="I92" s="28" t="n"/>
      <c r="J92" s="28" t="n"/>
      <c r="K92" s="19" t="n"/>
      <c r="L92" s="19" t="n"/>
      <c r="M92" s="19" t="n"/>
      <c r="N92" s="19" t="n"/>
      <c r="O92" s="19" t="n"/>
      <c r="P92" s="214" t="inlineStr">
        <is>
          <t>Capaian Kinerja Sasaran 1.2.2</t>
        </is>
      </c>
      <c r="Q92" s="199" t="n"/>
      <c r="R92" s="199" t="n"/>
      <c r="S92" s="199" t="n"/>
      <c r="T92" s="200" t="n"/>
      <c r="U92" s="19" t="n"/>
      <c r="V92" s="19" t="n"/>
      <c r="W92" s="19" t="n"/>
      <c r="X92" s="19" t="n"/>
      <c r="Y92" s="19" t="n"/>
      <c r="Z92" s="19" t="n"/>
      <c r="AA92" s="19" t="n"/>
      <c r="AB92" s="14">
        <f>IFERROR(AVERAGEIF(H32:H34,"IKU",AB32:AB34),0)</f>
        <v/>
      </c>
      <c r="AC92" s="19" t="n"/>
      <c r="AD92" s="19" t="n"/>
      <c r="AE92" s="19" t="n"/>
      <c r="AF92" s="19" t="n"/>
      <c r="AG92" s="19" t="n"/>
      <c r="AH92" s="19" t="n"/>
      <c r="AI92" s="19" t="n"/>
      <c r="AJ92" s="19" t="n"/>
      <c r="AK92" s="19" t="n"/>
      <c r="AL92" s="19" t="n"/>
      <c r="AM92" s="1" t="n"/>
      <c r="AN92" s="1" t="n"/>
      <c r="AO92" s="1" t="n"/>
      <c r="AP92" s="1" t="n"/>
      <c r="AQ92" s="1" t="n"/>
      <c r="AR92" s="1" t="n"/>
      <c r="AS92" s="1" t="n"/>
      <c r="AT92" s="1" t="n"/>
    </row>
    <row r="93" ht="14.25" customHeight="1" s="184">
      <c r="A93" s="19" t="n"/>
      <c r="B93" s="19" t="n"/>
      <c r="C93" s="19" t="n"/>
      <c r="D93" s="19" t="n"/>
      <c r="E93" s="19" t="n"/>
      <c r="F93" s="19" t="n"/>
      <c r="G93" s="19" t="n"/>
      <c r="H93" s="28" t="n"/>
      <c r="I93" s="28" t="n"/>
      <c r="J93" s="28" t="n"/>
      <c r="K93" s="19" t="n"/>
      <c r="L93" s="19" t="n"/>
      <c r="M93" s="19" t="n"/>
      <c r="N93" s="19" t="n"/>
      <c r="O93" s="19" t="n"/>
      <c r="P93" s="214" t="inlineStr">
        <is>
          <t>Capaian Kinerja Sasaran 1.2.3</t>
        </is>
      </c>
      <c r="Q93" s="199" t="n"/>
      <c r="R93" s="199" t="n"/>
      <c r="S93" s="199" t="n"/>
      <c r="T93" s="200" t="n"/>
      <c r="U93" s="19" t="n"/>
      <c r="V93" s="19" t="n"/>
      <c r="W93" s="19" t="n"/>
      <c r="X93" s="19" t="n"/>
      <c r="Y93" s="19" t="n"/>
      <c r="Z93" s="19" t="n"/>
      <c r="AA93" s="19" t="n"/>
      <c r="AB93" s="14">
        <f>IFERROR(AVERAGEIF(H37:H39,"IKU",AB37:AB39),0)</f>
        <v/>
      </c>
      <c r="AC93" s="19" t="n"/>
      <c r="AD93" s="19" t="n"/>
      <c r="AE93" s="19" t="n"/>
      <c r="AF93" s="19" t="n"/>
      <c r="AG93" s="19" t="n"/>
      <c r="AH93" s="19" t="n"/>
      <c r="AI93" s="19" t="n"/>
      <c r="AJ93" s="19" t="n"/>
      <c r="AK93" s="19" t="n"/>
      <c r="AL93" s="19" t="n"/>
      <c r="AM93" s="1" t="n"/>
      <c r="AN93" s="1" t="n"/>
      <c r="AO93" s="1" t="n"/>
      <c r="AP93" s="1" t="n"/>
      <c r="AQ93" s="1" t="n"/>
      <c r="AR93" s="1" t="n"/>
      <c r="AS93" s="1" t="n"/>
      <c r="AT93" s="1" t="n"/>
    </row>
    <row r="94" ht="14.25" customHeight="1" s="184">
      <c r="A94" s="19" t="n"/>
      <c r="B94" s="19" t="n"/>
      <c r="C94" s="19" t="n"/>
      <c r="D94" s="19" t="n"/>
      <c r="E94" s="19" t="n"/>
      <c r="F94" s="19" t="n"/>
      <c r="G94" s="19" t="n"/>
      <c r="H94" s="28" t="n"/>
      <c r="I94" s="28" t="n"/>
      <c r="J94" s="28" t="n"/>
      <c r="K94" s="19" t="n"/>
      <c r="L94" s="19" t="n"/>
      <c r="M94" s="19" t="n"/>
      <c r="N94" s="19" t="n"/>
      <c r="O94" s="19" t="n"/>
      <c r="P94" s="214" t="inlineStr">
        <is>
          <t>Capaian Kinerja Sasaran 1.3.1</t>
        </is>
      </c>
      <c r="Q94" s="199" t="n"/>
      <c r="R94" s="199" t="n"/>
      <c r="S94" s="199" t="n"/>
      <c r="T94" s="200" t="n"/>
      <c r="U94" s="19" t="n"/>
      <c r="V94" s="19" t="n"/>
      <c r="W94" s="19" t="n"/>
      <c r="X94" s="19" t="n"/>
      <c r="Y94" s="19" t="n"/>
      <c r="Z94" s="19" t="n"/>
      <c r="AA94" s="19" t="n"/>
      <c r="AB94" s="14">
        <f>IFERROR(AVERAGEIF(H42:H44,"IKU",AB42:AB44),0)</f>
        <v/>
      </c>
      <c r="AC94" s="19" t="n"/>
      <c r="AD94" s="19" t="n"/>
      <c r="AE94" s="19" t="n"/>
      <c r="AF94" s="19" t="n"/>
      <c r="AG94" s="19" t="n"/>
      <c r="AH94" s="19" t="n"/>
      <c r="AI94" s="19" t="n"/>
      <c r="AJ94" s="19" t="n"/>
      <c r="AK94" s="19" t="n"/>
      <c r="AL94" s="19" t="n"/>
      <c r="AM94" s="1" t="n"/>
      <c r="AN94" s="1" t="n"/>
      <c r="AO94" s="1" t="n"/>
      <c r="AP94" s="1" t="n"/>
      <c r="AQ94" s="1" t="n"/>
      <c r="AR94" s="1" t="n"/>
      <c r="AS94" s="1" t="n"/>
      <c r="AT94" s="1" t="n"/>
    </row>
    <row r="95" ht="14.25" customHeight="1" s="184">
      <c r="A95" s="19" t="n"/>
      <c r="B95" s="19" t="n"/>
      <c r="C95" s="19" t="n"/>
      <c r="D95" s="19" t="n"/>
      <c r="E95" s="19" t="n"/>
      <c r="F95" s="19" t="n"/>
      <c r="G95" s="19" t="n"/>
      <c r="H95" s="28" t="n"/>
      <c r="I95" s="28" t="n"/>
      <c r="J95" s="28" t="n"/>
      <c r="K95" s="19" t="n"/>
      <c r="L95" s="19" t="n"/>
      <c r="M95" s="19" t="n"/>
      <c r="N95" s="19" t="n"/>
      <c r="O95" s="19" t="n"/>
      <c r="P95" s="214" t="inlineStr">
        <is>
          <t>Capaian Kinerja Sasaran 1.3.3</t>
        </is>
      </c>
      <c r="Q95" s="199" t="n"/>
      <c r="R95" s="199" t="n"/>
      <c r="S95" s="199" t="n"/>
      <c r="T95" s="200" t="n"/>
      <c r="U95" s="19" t="n"/>
      <c r="V95" s="19" t="n"/>
      <c r="W95" s="19" t="n"/>
      <c r="X95" s="19" t="n"/>
      <c r="Y95" s="19" t="n"/>
      <c r="Z95" s="19" t="n"/>
      <c r="AA95" s="19" t="n"/>
      <c r="AB95" s="14">
        <f>IFERROR(AVERAGEIF(H47:H49,"IKU",AB47:AB49),0)</f>
        <v/>
      </c>
      <c r="AC95" s="19" t="n"/>
      <c r="AD95" s="19" t="n"/>
      <c r="AE95" s="19" t="n"/>
      <c r="AF95" s="19" t="n"/>
      <c r="AG95" s="19" t="n"/>
      <c r="AH95" s="19" t="n"/>
      <c r="AI95" s="19" t="n"/>
      <c r="AJ95" s="19" t="n"/>
      <c r="AK95" s="19" t="n"/>
      <c r="AL95" s="19" t="n"/>
      <c r="AM95" s="1" t="n"/>
      <c r="AN95" s="1" t="n"/>
      <c r="AO95" s="1" t="n"/>
      <c r="AP95" s="1" t="n"/>
      <c r="AQ95" s="1" t="n"/>
      <c r="AR95" s="1" t="n"/>
      <c r="AS95" s="1" t="n"/>
      <c r="AT95" s="1" t="n"/>
    </row>
    <row r="96" ht="14.25" customHeight="1" s="184">
      <c r="A96" s="19" t="n"/>
      <c r="B96" s="19" t="n"/>
      <c r="C96" s="19" t="n"/>
      <c r="D96" s="19" t="n"/>
      <c r="E96" s="19" t="n"/>
      <c r="F96" s="19" t="n"/>
      <c r="G96" s="19" t="n"/>
      <c r="H96" s="28" t="n"/>
      <c r="I96" s="28" t="n"/>
      <c r="J96" s="28" t="n"/>
      <c r="K96" s="19" t="n"/>
      <c r="L96" s="19" t="n"/>
      <c r="M96" s="19" t="n"/>
      <c r="N96" s="19" t="n"/>
      <c r="O96" s="19" t="n"/>
      <c r="P96" s="214" t="inlineStr">
        <is>
          <t>Capaian Kinerja Sasaran 1.3.5</t>
        </is>
      </c>
      <c r="Q96" s="199" t="n"/>
      <c r="R96" s="199" t="n"/>
      <c r="S96" s="199" t="n"/>
      <c r="T96" s="200" t="n"/>
      <c r="U96" s="19" t="n"/>
      <c r="V96" s="19" t="n"/>
      <c r="W96" s="19" t="n"/>
      <c r="X96" s="19" t="n"/>
      <c r="Y96" s="19" t="n"/>
      <c r="Z96" s="19" t="n"/>
      <c r="AA96" s="19" t="n"/>
      <c r="AB96" s="14">
        <f>IFERROR(AVERAGEIF(H52:H54,"IKU",AB52:AB54),0)</f>
        <v/>
      </c>
      <c r="AC96" s="19" t="n"/>
      <c r="AD96" s="19" t="n"/>
      <c r="AE96" s="19" t="n"/>
      <c r="AF96" s="19" t="n"/>
      <c r="AG96" s="19" t="n"/>
      <c r="AH96" s="19" t="n"/>
      <c r="AI96" s="19" t="n"/>
      <c r="AJ96" s="19" t="n"/>
      <c r="AK96" s="19" t="n"/>
      <c r="AL96" s="19" t="n"/>
      <c r="AM96" s="1" t="n"/>
      <c r="AN96" s="1" t="n"/>
      <c r="AO96" s="1" t="n"/>
      <c r="AP96" s="1" t="n"/>
      <c r="AQ96" s="1" t="n"/>
      <c r="AR96" s="1" t="n"/>
      <c r="AS96" s="1" t="n"/>
      <c r="AT96" s="1" t="n"/>
    </row>
    <row r="97" ht="14.25" customHeight="1" s="184">
      <c r="A97" s="19" t="n"/>
      <c r="B97" s="19" t="n"/>
      <c r="C97" s="19" t="n"/>
      <c r="D97" s="19" t="n"/>
      <c r="E97" s="19" t="n"/>
      <c r="F97" s="19" t="n"/>
      <c r="G97" s="19" t="n"/>
      <c r="H97" s="28" t="n"/>
      <c r="I97" s="28" t="n"/>
      <c r="J97" s="28" t="n"/>
      <c r="K97" s="19" t="n"/>
      <c r="L97" s="19" t="n"/>
      <c r="M97" s="19" t="n"/>
      <c r="N97" s="19" t="n"/>
      <c r="O97" s="19" t="n"/>
      <c r="P97" s="214" t="inlineStr">
        <is>
          <t>Capaian Kinerja Sasaran 1.4.1</t>
        </is>
      </c>
      <c r="Q97" s="199" t="n"/>
      <c r="R97" s="199" t="n"/>
      <c r="S97" s="199" t="n"/>
      <c r="T97" s="200" t="n"/>
      <c r="U97" s="19" t="n"/>
      <c r="V97" s="19" t="n"/>
      <c r="W97" s="19" t="n"/>
      <c r="X97" s="19" t="n"/>
      <c r="Y97" s="19" t="n"/>
      <c r="Z97" s="19" t="n"/>
      <c r="AA97" s="19" t="n"/>
      <c r="AB97" s="14">
        <f>IFERROR(AVERAGEIF(H57:H67,"IKU",AB57:AB67),0)</f>
        <v/>
      </c>
      <c r="AC97" s="19" t="n"/>
      <c r="AD97" s="19" t="n"/>
      <c r="AE97" s="19" t="n"/>
      <c r="AF97" s="19" t="n"/>
      <c r="AG97" s="19" t="n"/>
      <c r="AH97" s="19" t="n"/>
      <c r="AI97" s="19" t="n"/>
      <c r="AJ97" s="19" t="n"/>
      <c r="AK97" s="19" t="n"/>
      <c r="AL97" s="19" t="n"/>
      <c r="AM97" s="1" t="n"/>
      <c r="AN97" s="1" t="n"/>
      <c r="AO97" s="1" t="n"/>
      <c r="AP97" s="1" t="n"/>
      <c r="AQ97" s="1" t="n"/>
      <c r="AR97" s="1" t="n"/>
      <c r="AS97" s="1" t="n"/>
      <c r="AT97" s="1" t="n"/>
    </row>
    <row r="98" ht="14.25" customHeight="1" s="184">
      <c r="A98" s="19" t="n"/>
      <c r="B98" s="19" t="n"/>
      <c r="C98" s="19" t="n"/>
      <c r="D98" s="19" t="n"/>
      <c r="E98" s="19" t="n"/>
      <c r="F98" s="19" t="n"/>
      <c r="G98" s="19" t="n"/>
      <c r="H98" s="28" t="n"/>
      <c r="I98" s="28" t="n"/>
      <c r="J98" s="28" t="n"/>
      <c r="K98" s="19" t="n"/>
      <c r="L98" s="19" t="n"/>
      <c r="M98" s="19" t="n"/>
      <c r="N98" s="19" t="n"/>
      <c r="O98" s="19" t="n"/>
      <c r="P98" s="214" t="inlineStr">
        <is>
          <t>Capaian Kinerja Sasaran 2.1.4</t>
        </is>
      </c>
      <c r="Q98" s="199" t="n"/>
      <c r="R98" s="199" t="n"/>
      <c r="S98" s="199" t="n"/>
      <c r="T98" s="200" t="n"/>
      <c r="U98" s="19" t="n"/>
      <c r="V98" s="19" t="n"/>
      <c r="W98" s="19" t="n"/>
      <c r="X98" s="19" t="n"/>
      <c r="Y98" s="19" t="n"/>
      <c r="Z98" s="19" t="n"/>
      <c r="AA98" s="19" t="n"/>
      <c r="AB98" s="14">
        <f>IFERROR(AVERAGEIF(H71:H73,"IKU",AB71:AB73),0)</f>
        <v/>
      </c>
      <c r="AC98" s="19" t="n"/>
      <c r="AD98" s="19" t="n"/>
      <c r="AE98" s="19" t="n"/>
      <c r="AF98" s="19" t="n"/>
      <c r="AG98" s="19" t="n"/>
      <c r="AH98" s="19" t="n"/>
      <c r="AI98" s="19" t="n"/>
      <c r="AJ98" s="19" t="n"/>
      <c r="AK98" s="19" t="n"/>
      <c r="AL98" s="19" t="n"/>
      <c r="AM98" s="1" t="n"/>
      <c r="AN98" s="1" t="n"/>
      <c r="AO98" s="1" t="n"/>
      <c r="AP98" s="1" t="n"/>
      <c r="AQ98" s="1" t="n"/>
      <c r="AR98" s="1" t="n"/>
      <c r="AS98" s="1" t="n"/>
      <c r="AT98" s="1" t="n"/>
      <c r="AU98" s="32" t="n"/>
    </row>
    <row r="99" ht="14.25" customHeight="1" s="184">
      <c r="A99" s="19" t="n"/>
      <c r="B99" s="19" t="n"/>
      <c r="C99" s="19" t="n"/>
      <c r="D99" s="19" t="n"/>
      <c r="E99" s="19" t="n"/>
      <c r="F99" s="19" t="n"/>
      <c r="G99" s="19" t="n"/>
      <c r="H99" s="28" t="n"/>
      <c r="I99" s="28" t="n"/>
      <c r="J99" s="28" t="n"/>
      <c r="K99" s="19" t="n"/>
      <c r="L99" s="19" t="n"/>
      <c r="M99" s="19" t="n"/>
      <c r="N99" s="19" t="n"/>
      <c r="O99" s="19" t="n"/>
      <c r="P99" s="214" t="inlineStr">
        <is>
          <t>Capaian Kinerja Sasaran 2.5.1</t>
        </is>
      </c>
      <c r="Q99" s="199" t="n"/>
      <c r="R99" s="199" t="n"/>
      <c r="S99" s="199" t="n"/>
      <c r="T99" s="200" t="n"/>
      <c r="U99" s="19" t="n"/>
      <c r="V99" s="19" t="n"/>
      <c r="W99" s="19" t="n"/>
      <c r="X99" s="19" t="n"/>
      <c r="Y99" s="19" t="n"/>
      <c r="Z99" s="19" t="n"/>
      <c r="AA99" s="19" t="n"/>
      <c r="AB99" s="14">
        <f>IFERROR(AVERAGEIF(H76,"IKU",AB76),0)</f>
        <v/>
      </c>
      <c r="AC99" s="19" t="n"/>
      <c r="AD99" s="19" t="n"/>
      <c r="AE99" s="19" t="n"/>
      <c r="AF99" s="19" t="n"/>
      <c r="AG99" s="19" t="n"/>
      <c r="AH99" s="19" t="n"/>
      <c r="AI99" s="19" t="n"/>
      <c r="AJ99" s="19" t="n"/>
      <c r="AK99" s="19" t="n"/>
      <c r="AL99" s="19" t="n"/>
      <c r="AM99" s="1" t="n"/>
      <c r="AN99" s="1" t="n"/>
      <c r="AO99" s="1" t="n"/>
      <c r="AP99" s="1" t="n"/>
      <c r="AQ99" s="1" t="n"/>
      <c r="AR99" s="1" t="n"/>
      <c r="AS99" s="1" t="n"/>
      <c r="AT99" s="1" t="n"/>
    </row>
    <row r="100" ht="14.25" customHeight="1" s="184">
      <c r="A100" s="19" t="n"/>
      <c r="B100" s="19" t="n"/>
      <c r="C100" s="19" t="n"/>
      <c r="D100" s="19" t="n"/>
      <c r="E100" s="19" t="n"/>
      <c r="F100" s="19" t="n"/>
      <c r="G100" s="19" t="n"/>
      <c r="H100" s="28" t="n"/>
      <c r="I100" s="28" t="n"/>
      <c r="J100" s="28" t="n"/>
      <c r="K100" s="19" t="n"/>
      <c r="L100" s="19" t="n"/>
      <c r="M100" s="19" t="n"/>
      <c r="N100" s="19" t="n"/>
      <c r="O100" s="19" t="n"/>
      <c r="P100" s="214" t="inlineStr">
        <is>
          <t>Capaian Kinerja Sasaran 2.7.1</t>
        </is>
      </c>
      <c r="Q100" s="199" t="n"/>
      <c r="R100" s="199" t="n"/>
      <c r="S100" s="199" t="n"/>
      <c r="T100" s="200" t="n"/>
      <c r="U100" s="19" t="n"/>
      <c r="V100" s="19" t="n"/>
      <c r="W100" s="19" t="n"/>
      <c r="X100" s="19" t="n"/>
      <c r="Y100" s="19" t="n"/>
      <c r="Z100" s="19" t="n"/>
      <c r="AA100" s="19" t="n"/>
      <c r="AB100" s="14">
        <f>IFERROR(AVERAGEIF(H79,"IKU",AB79),0)</f>
        <v/>
      </c>
      <c r="AC100" s="19" t="n"/>
      <c r="AD100" s="19" t="n"/>
      <c r="AE100" s="19" t="n"/>
      <c r="AF100" s="19" t="n"/>
      <c r="AG100" s="19" t="n"/>
      <c r="AH100" s="19" t="n"/>
      <c r="AI100" s="19" t="n"/>
      <c r="AJ100" s="19" t="n"/>
      <c r="AK100" s="19" t="n"/>
      <c r="AL100" s="19" t="n"/>
      <c r="AM100" s="1" t="n"/>
      <c r="AN100" s="1" t="n"/>
      <c r="AO100" s="1" t="n"/>
      <c r="AP100" s="1" t="n"/>
      <c r="AQ100" s="1" t="n"/>
      <c r="AR100" s="1" t="n"/>
      <c r="AS100" s="1" t="n"/>
      <c r="AT100" s="1" t="n"/>
    </row>
    <row r="101" ht="14.25" customHeight="1" s="184">
      <c r="A101" s="19" t="n"/>
      <c r="B101" s="19" t="n"/>
      <c r="C101" s="19" t="n"/>
      <c r="D101" s="19" t="n"/>
      <c r="E101" s="19" t="n"/>
      <c r="F101" s="19" t="n"/>
      <c r="G101" s="19" t="n"/>
      <c r="H101" s="28" t="n"/>
      <c r="I101" s="28" t="n"/>
      <c r="J101" s="28" t="n"/>
      <c r="K101" s="19" t="n"/>
      <c r="L101" s="19" t="n"/>
      <c r="M101" s="19" t="n"/>
      <c r="N101" s="19" t="n"/>
      <c r="O101" s="19" t="n"/>
      <c r="P101" s="214" t="inlineStr">
        <is>
          <t>Capaian Kinerja Sasaran 3.2.4</t>
        </is>
      </c>
      <c r="Q101" s="199" t="n"/>
      <c r="R101" s="199" t="n"/>
      <c r="S101" s="199" t="n"/>
      <c r="T101" s="200" t="n"/>
      <c r="U101" s="19" t="n"/>
      <c r="V101" s="19" t="n"/>
      <c r="W101" s="19" t="n"/>
      <c r="X101" s="19" t="n"/>
      <c r="Y101" s="19" t="n"/>
      <c r="Z101" s="19" t="n"/>
      <c r="AA101" s="19" t="n"/>
      <c r="AB101" s="14">
        <f>IFERROR(AVERAGEIF(H83:H84,"IKU",AB83:AB84),0)</f>
        <v/>
      </c>
      <c r="AC101" s="19" t="n"/>
      <c r="AD101" s="19" t="n"/>
      <c r="AE101" s="19" t="n"/>
      <c r="AF101" s="19" t="n"/>
      <c r="AG101" s="19" t="n"/>
      <c r="AH101" s="19" t="n"/>
      <c r="AI101" s="19" t="n"/>
      <c r="AJ101" s="19" t="n"/>
      <c r="AK101" s="19" t="n"/>
      <c r="AL101" s="19" t="n"/>
      <c r="AM101" s="1" t="n"/>
      <c r="AN101" s="1" t="n"/>
      <c r="AO101" s="1" t="n"/>
      <c r="AP101" s="1" t="n"/>
      <c r="AQ101" s="1" t="n"/>
      <c r="AR101" s="1" t="n"/>
      <c r="AS101" s="1" t="n"/>
      <c r="AT101" s="1" t="n"/>
    </row>
    <row r="102" ht="14.25" customHeight="1" s="184">
      <c r="A102" s="1" t="n"/>
      <c r="B102" s="1" t="n"/>
      <c r="C102" s="1" t="n"/>
      <c r="D102" s="1" t="n"/>
      <c r="E102" s="1" t="n"/>
      <c r="F102" s="1" t="n"/>
      <c r="G102" s="1" t="n"/>
      <c r="H102" s="7" t="n"/>
      <c r="I102" s="7" t="n"/>
      <c r="J102" s="7" t="n"/>
      <c r="K102" s="1" t="n"/>
      <c r="L102" s="1" t="n"/>
      <c r="M102" s="1"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ht="14.25" customHeight="1" s="184">
      <c r="A103" s="1" t="n"/>
      <c r="B103" s="1" t="n"/>
      <c r="C103" s="1" t="n"/>
      <c r="D103" s="1" t="n"/>
      <c r="E103" s="1" t="n"/>
      <c r="F103" s="1" t="n"/>
      <c r="G103" s="1" t="n"/>
      <c r="H103" s="7" t="n"/>
      <c r="I103" s="7" t="n"/>
      <c r="J103" s="7" t="n"/>
      <c r="K103" s="1" t="n"/>
      <c r="L103" s="1" t="n"/>
      <c r="M103" s="1"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ht="14.25" customHeight="1" s="184">
      <c r="A104" s="1" t="n"/>
      <c r="B104" s="1" t="n"/>
      <c r="C104" s="1" t="n"/>
      <c r="D104" s="1" t="n"/>
      <c r="E104" s="1" t="n"/>
      <c r="F104" s="1" t="n"/>
      <c r="G104" s="1" t="n"/>
      <c r="H104" s="7" t="n"/>
      <c r="I104" s="7" t="n"/>
      <c r="J104" s="7" t="n"/>
      <c r="K104" s="1" t="n"/>
      <c r="L104" s="1" t="n"/>
      <c r="M104" s="1"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ht="14.25" customHeight="1" s="184">
      <c r="A105" s="1" t="n"/>
      <c r="B105" s="1" t="n"/>
      <c r="C105" s="1" t="n"/>
      <c r="D105" s="1" t="n"/>
      <c r="E105" s="1" t="n"/>
      <c r="F105" s="1" t="n"/>
      <c r="G105" s="1" t="n"/>
      <c r="H105" s="7" t="n"/>
      <c r="I105" s="7" t="n"/>
      <c r="J105" s="7" t="n"/>
      <c r="K105" s="1" t="n"/>
      <c r="L105" s="1" t="n"/>
      <c r="M105" s="1"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ht="14.25" customHeight="1" s="184">
      <c r="A106" s="1" t="n"/>
      <c r="B106" s="1" t="n"/>
      <c r="C106" s="1" t="n"/>
      <c r="D106" s="1" t="n"/>
      <c r="E106" s="1" t="n"/>
      <c r="F106" s="1" t="n"/>
      <c r="G106" s="1" t="n"/>
      <c r="H106" s="7" t="n"/>
      <c r="I106" s="7" t="n"/>
      <c r="J106" s="7" t="n"/>
      <c r="K106" s="1" t="n"/>
      <c r="L106" s="1" t="n"/>
      <c r="M106" s="1"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ht="14.25" customHeight="1" s="184">
      <c r="A107" s="1" t="n"/>
      <c r="B107" s="1" t="n"/>
      <c r="C107" s="1" t="n"/>
      <c r="D107" s="1" t="n"/>
      <c r="E107" s="1" t="n"/>
      <c r="F107" s="1" t="n"/>
      <c r="G107" s="1" t="n"/>
      <c r="H107" s="7" t="n"/>
      <c r="I107" s="7" t="n"/>
      <c r="J107" s="7" t="n"/>
      <c r="K107" s="1" t="n"/>
      <c r="L107" s="1" t="n"/>
      <c r="M107" s="1"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ht="14.25" customHeight="1" s="184">
      <c r="A108" s="1" t="n"/>
      <c r="B108" s="1" t="n"/>
      <c r="C108" s="1" t="n"/>
      <c r="D108" s="1" t="n"/>
      <c r="E108" s="1" t="n"/>
      <c r="F108" s="1" t="n"/>
      <c r="G108" s="1" t="n"/>
      <c r="H108" s="7" t="n"/>
      <c r="I108" s="7" t="n"/>
      <c r="J108" s="7" t="n"/>
      <c r="K108" s="1" t="n"/>
      <c r="L108" s="1" t="n"/>
      <c r="M108" s="1" t="n"/>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ht="14.25" customHeight="1" s="184">
      <c r="A109" s="1" t="n"/>
      <c r="B109" s="1" t="n"/>
      <c r="C109" s="1" t="n"/>
      <c r="D109" s="1" t="n"/>
      <c r="E109" s="1" t="n"/>
      <c r="F109" s="1" t="n"/>
      <c r="G109" s="1" t="n"/>
      <c r="H109" s="7" t="n"/>
      <c r="I109" s="7" t="n"/>
      <c r="J109" s="7" t="n"/>
      <c r="K109" s="1" t="n"/>
      <c r="L109" s="1" t="n"/>
      <c r="M109" s="1"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ht="14.25" customHeight="1" s="184">
      <c r="A110" s="1" t="n"/>
      <c r="B110" s="1" t="n"/>
      <c r="C110" s="1" t="n"/>
      <c r="D110" s="1" t="n"/>
      <c r="E110" s="1" t="n"/>
      <c r="F110" s="1" t="n"/>
      <c r="G110" s="1" t="n"/>
      <c r="H110" s="7" t="n"/>
      <c r="I110" s="7" t="n"/>
      <c r="J110" s="7" t="n"/>
      <c r="K110" s="1" t="n"/>
      <c r="L110" s="1" t="n"/>
      <c r="M110" s="1" t="n"/>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ht="14.25" customHeight="1" s="184">
      <c r="A111" s="1" t="n"/>
      <c r="B111" s="1" t="n"/>
      <c r="C111" s="1" t="n"/>
      <c r="D111" s="1" t="n"/>
      <c r="E111" s="1" t="n"/>
      <c r="F111" s="1" t="n"/>
      <c r="G111" s="1" t="n"/>
      <c r="H111" s="7" t="n"/>
      <c r="I111" s="7" t="n"/>
      <c r="J111" s="7" t="n"/>
      <c r="K111" s="1" t="n"/>
      <c r="L111" s="1" t="n"/>
      <c r="M111" s="1" t="n"/>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ht="14.25" customHeight="1" s="184">
      <c r="A112" s="1" t="n"/>
      <c r="B112" s="1" t="n"/>
      <c r="C112" s="1" t="n"/>
      <c r="D112" s="1" t="n"/>
      <c r="E112" s="1" t="n"/>
      <c r="F112" s="1" t="n"/>
      <c r="G112" s="1" t="n"/>
      <c r="H112" s="7" t="n"/>
      <c r="I112" s="7" t="n"/>
      <c r="J112" s="7" t="n"/>
      <c r="K112" s="1" t="n"/>
      <c r="L112" s="1" t="n"/>
      <c r="M112" s="1" t="n"/>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ht="14.25" customHeight="1" s="184">
      <c r="A113" s="1" t="n"/>
      <c r="B113" s="1" t="n"/>
      <c r="C113" s="1" t="n"/>
      <c r="D113" s="1" t="n"/>
      <c r="E113" s="1" t="n"/>
      <c r="F113" s="1" t="n"/>
      <c r="G113" s="1" t="n"/>
      <c r="H113" s="7" t="n"/>
      <c r="I113" s="7" t="n"/>
      <c r="J113" s="7" t="n"/>
      <c r="K113" s="1" t="n"/>
      <c r="L113" s="1" t="n"/>
      <c r="M113" s="1" t="n"/>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ht="14.25" customHeight="1" s="184">
      <c r="A114" s="1" t="n"/>
      <c r="B114" s="1" t="n"/>
      <c r="C114" s="1" t="n"/>
      <c r="D114" s="1" t="n"/>
      <c r="E114" s="1" t="n"/>
      <c r="F114" s="1" t="n"/>
      <c r="G114" s="1" t="n"/>
      <c r="H114" s="7" t="n"/>
      <c r="I114" s="7" t="n"/>
      <c r="J114" s="7" t="n"/>
      <c r="K114" s="1" t="n"/>
      <c r="L114" s="1" t="n"/>
      <c r="M114" s="1"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ht="14.25" customHeight="1" s="184">
      <c r="A115" s="1" t="n"/>
      <c r="B115" s="1" t="n"/>
      <c r="C115" s="1" t="n"/>
      <c r="D115" s="1" t="n"/>
      <c r="E115" s="1" t="n"/>
      <c r="F115" s="1" t="n"/>
      <c r="G115" s="1" t="n"/>
      <c r="H115" s="7" t="n"/>
      <c r="I115" s="7" t="n"/>
      <c r="J115" s="7" t="n"/>
      <c r="K115" s="1" t="n"/>
      <c r="L115" s="1" t="n"/>
      <c r="M115" s="1" t="n"/>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ht="14.25" customHeight="1" s="184">
      <c r="A116" s="1" t="n"/>
      <c r="B116" s="1" t="n"/>
      <c r="C116" s="1" t="n"/>
      <c r="D116" s="1" t="n"/>
      <c r="E116" s="1" t="n"/>
      <c r="F116" s="1" t="n"/>
      <c r="G116" s="1" t="n"/>
      <c r="H116" s="7" t="n"/>
      <c r="I116" s="7" t="n"/>
      <c r="J116" s="7" t="n"/>
      <c r="K116" s="1" t="n"/>
      <c r="L116" s="1" t="n"/>
      <c r="M116" s="1" t="n"/>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ht="14.25" customHeight="1" s="184">
      <c r="A117" s="1" t="n"/>
      <c r="B117" s="1" t="n"/>
      <c r="C117" s="1" t="n"/>
      <c r="D117" s="1" t="n"/>
      <c r="E117" s="1" t="n"/>
      <c r="F117" s="1" t="n"/>
      <c r="G117" s="1" t="n"/>
      <c r="H117" s="7" t="n"/>
      <c r="I117" s="7" t="n"/>
      <c r="J117" s="7" t="n"/>
      <c r="K117" s="1" t="n"/>
      <c r="L117" s="1" t="n"/>
      <c r="M117" s="1" t="n"/>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ht="14.25" customHeight="1" s="184">
      <c r="A118" s="1" t="n"/>
      <c r="B118" s="1" t="n"/>
      <c r="C118" s="1" t="n"/>
      <c r="D118" s="1" t="n"/>
      <c r="E118" s="1" t="n"/>
      <c r="F118" s="1" t="n"/>
      <c r="G118" s="1" t="n"/>
      <c r="H118" s="7" t="n"/>
      <c r="I118" s="7" t="n"/>
      <c r="J118" s="7" t="n"/>
      <c r="K118" s="1" t="n"/>
      <c r="L118" s="1" t="n"/>
      <c r="M118" s="1" t="n"/>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ht="14.25" customHeight="1" s="184">
      <c r="A119" s="1" t="n"/>
      <c r="B119" s="1" t="n"/>
      <c r="C119" s="1" t="n"/>
      <c r="D119" s="1" t="n"/>
      <c r="E119" s="1" t="n"/>
      <c r="F119" s="1" t="n"/>
      <c r="G119" s="1" t="n"/>
      <c r="H119" s="7" t="n"/>
      <c r="I119" s="7" t="n"/>
      <c r="J119" s="7" t="n"/>
      <c r="K119" s="1" t="n"/>
      <c r="L119" s="1" t="n"/>
      <c r="M119" s="1" t="n"/>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ht="14.25" customHeight="1" s="184">
      <c r="A120" s="1" t="n"/>
      <c r="B120" s="1" t="n"/>
      <c r="C120" s="1" t="n"/>
      <c r="D120" s="1" t="n"/>
      <c r="E120" s="1" t="n"/>
      <c r="F120" s="1" t="n"/>
      <c r="G120" s="1" t="n"/>
      <c r="H120" s="7" t="n"/>
      <c r="I120" s="7" t="n"/>
      <c r="J120" s="7" t="n"/>
      <c r="K120" s="1" t="n"/>
      <c r="L120" s="1" t="n"/>
      <c r="M120" s="1" t="n"/>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ht="14.25" customHeight="1" s="184">
      <c r="A121" s="1" t="n"/>
      <c r="B121" s="1" t="n"/>
      <c r="C121" s="1" t="n"/>
      <c r="D121" s="1" t="n"/>
      <c r="E121" s="1" t="n"/>
      <c r="F121" s="1" t="n"/>
      <c r="G121" s="1" t="n"/>
      <c r="H121" s="7" t="n"/>
      <c r="I121" s="7" t="n"/>
      <c r="J121" s="7" t="n"/>
      <c r="K121" s="1" t="n"/>
      <c r="L121" s="1" t="n"/>
      <c r="M121" s="1" t="n"/>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ht="14.25" customHeight="1" s="184">
      <c r="A122" s="1" t="n"/>
      <c r="B122" s="1" t="n"/>
      <c r="C122" s="1" t="n"/>
      <c r="D122" s="1" t="n"/>
      <c r="E122" s="1" t="n"/>
      <c r="F122" s="1" t="n"/>
      <c r="G122" s="1" t="n"/>
      <c r="H122" s="7" t="n"/>
      <c r="I122" s="7" t="n"/>
      <c r="J122" s="7" t="n"/>
      <c r="K122" s="1" t="n"/>
      <c r="L122" s="1" t="n"/>
      <c r="M122" s="1" t="n"/>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ht="14.25" customHeight="1" s="184">
      <c r="A123" s="1" t="n"/>
      <c r="B123" s="1" t="n"/>
      <c r="C123" s="1" t="n"/>
      <c r="D123" s="1" t="n"/>
      <c r="E123" s="1" t="n"/>
      <c r="F123" s="1" t="n"/>
      <c r="G123" s="1" t="n"/>
      <c r="H123" s="7" t="n"/>
      <c r="I123" s="7" t="n"/>
      <c r="J123" s="7" t="n"/>
      <c r="K123" s="1" t="n"/>
      <c r="L123" s="1" t="n"/>
      <c r="M123" s="1" t="n"/>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ht="14.25" customHeight="1" s="184">
      <c r="A124" s="1" t="n"/>
      <c r="B124" s="1" t="n"/>
      <c r="C124" s="1" t="n"/>
      <c r="D124" s="1" t="n"/>
      <c r="E124" s="1" t="n"/>
      <c r="F124" s="1" t="n"/>
      <c r="G124" s="1" t="n"/>
      <c r="H124" s="7" t="n"/>
      <c r="I124" s="7" t="n"/>
      <c r="J124" s="7" t="n"/>
      <c r="K124" s="1" t="n"/>
      <c r="L124" s="1" t="n"/>
      <c r="M124" s="1" t="n"/>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row r="125" ht="14.25" customHeight="1" s="184">
      <c r="A125" s="1" t="n"/>
      <c r="B125" s="1" t="n"/>
      <c r="C125" s="1" t="n"/>
      <c r="D125" s="1" t="n"/>
      <c r="E125" s="1" t="n"/>
      <c r="F125" s="1" t="n"/>
      <c r="G125" s="1" t="n"/>
      <c r="H125" s="7" t="n"/>
      <c r="I125" s="7" t="n"/>
      <c r="J125" s="7" t="n"/>
      <c r="K125" s="1" t="n"/>
      <c r="L125" s="1" t="n"/>
      <c r="M125" s="1" t="n"/>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row>
    <row r="126" ht="14.25" customHeight="1" s="184">
      <c r="A126" s="1" t="n"/>
      <c r="B126" s="1" t="n"/>
      <c r="C126" s="1" t="n"/>
      <c r="D126" s="1" t="n"/>
      <c r="E126" s="1" t="n"/>
      <c r="F126" s="1" t="n"/>
      <c r="G126" s="1" t="n"/>
      <c r="H126" s="7" t="n"/>
      <c r="I126" s="7" t="n"/>
      <c r="J126" s="7" t="n"/>
      <c r="K126" s="1" t="n"/>
      <c r="L126" s="1" t="n"/>
      <c r="M126" s="1" t="n"/>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row>
    <row r="127" ht="14.25" customHeight="1" s="184">
      <c r="A127" s="1" t="n"/>
      <c r="B127" s="1" t="n"/>
      <c r="C127" s="1" t="n"/>
      <c r="D127" s="1" t="n"/>
      <c r="E127" s="1" t="n"/>
      <c r="F127" s="1" t="n"/>
      <c r="G127" s="1" t="n"/>
      <c r="H127" s="7" t="n"/>
      <c r="I127" s="7" t="n"/>
      <c r="J127" s="7" t="n"/>
      <c r="K127" s="1" t="n"/>
      <c r="L127" s="1" t="n"/>
      <c r="M127" s="1" t="n"/>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row>
    <row r="128" ht="14.25" customHeight="1" s="184">
      <c r="A128" s="1" t="n"/>
      <c r="B128" s="1" t="n"/>
      <c r="C128" s="1" t="n"/>
      <c r="D128" s="1" t="n"/>
      <c r="E128" s="1" t="n"/>
      <c r="F128" s="1" t="n"/>
      <c r="G128" s="1" t="n"/>
      <c r="H128" s="7" t="n"/>
      <c r="I128" s="7" t="n"/>
      <c r="J128" s="7" t="n"/>
      <c r="K128" s="1" t="n"/>
      <c r="L128" s="1" t="n"/>
      <c r="M128" s="1" t="n"/>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row>
    <row r="129" ht="14.25" customHeight="1" s="184">
      <c r="A129" s="1" t="n"/>
      <c r="B129" s="1" t="n"/>
      <c r="C129" s="1" t="n"/>
      <c r="D129" s="1" t="n"/>
      <c r="E129" s="1" t="n"/>
      <c r="F129" s="1" t="n"/>
      <c r="G129" s="1" t="n"/>
      <c r="H129" s="7" t="n"/>
      <c r="I129" s="7" t="n"/>
      <c r="J129" s="7" t="n"/>
      <c r="K129" s="1" t="n"/>
      <c r="L129" s="1" t="n"/>
      <c r="M129" s="1" t="n"/>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row>
    <row r="130" ht="14.25" customHeight="1" s="184">
      <c r="A130" s="1" t="n"/>
      <c r="B130" s="1" t="n"/>
      <c r="C130" s="1" t="n"/>
      <c r="D130" s="1" t="n"/>
      <c r="E130" s="1" t="n"/>
      <c r="F130" s="1" t="n"/>
      <c r="G130" s="1" t="n"/>
      <c r="H130" s="7" t="n"/>
      <c r="I130" s="7" t="n"/>
      <c r="J130" s="7" t="n"/>
      <c r="K130" s="1" t="n"/>
      <c r="L130" s="1" t="n"/>
      <c r="M130" s="1" t="n"/>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row>
    <row r="131" ht="14.25" customHeight="1" s="184">
      <c r="A131" s="1" t="n"/>
      <c r="B131" s="1" t="n"/>
      <c r="C131" s="1" t="n"/>
      <c r="D131" s="1" t="n"/>
      <c r="E131" s="1" t="n"/>
      <c r="F131" s="1" t="n"/>
      <c r="G131" s="1" t="n"/>
      <c r="H131" s="7" t="n"/>
      <c r="I131" s="7" t="n"/>
      <c r="J131" s="7" t="n"/>
      <c r="K131" s="1" t="n"/>
      <c r="L131" s="1" t="n"/>
      <c r="M131" s="1" t="n"/>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row>
    <row r="132" ht="14.25" customHeight="1" s="184">
      <c r="A132" s="1" t="n"/>
      <c r="B132" s="1" t="n"/>
      <c r="C132" s="1" t="n"/>
      <c r="D132" s="1" t="n"/>
      <c r="E132" s="1" t="n"/>
      <c r="F132" s="1" t="n"/>
      <c r="G132" s="1" t="n"/>
      <c r="H132" s="7" t="n"/>
      <c r="I132" s="7" t="n"/>
      <c r="J132" s="7" t="n"/>
      <c r="K132" s="1" t="n"/>
      <c r="L132" s="1" t="n"/>
      <c r="M132" s="1" t="n"/>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row>
    <row r="133" ht="14.25" customHeight="1" s="184">
      <c r="A133" s="1" t="n"/>
      <c r="B133" s="1" t="n"/>
      <c r="C133" s="1" t="n"/>
      <c r="D133" s="1" t="n"/>
      <c r="E133" s="1" t="n"/>
      <c r="F133" s="1" t="n"/>
      <c r="G133" s="1" t="n"/>
      <c r="H133" s="7" t="n"/>
      <c r="I133" s="7" t="n"/>
      <c r="J133" s="7" t="n"/>
      <c r="K133" s="1" t="n"/>
      <c r="L133" s="1" t="n"/>
      <c r="M133" s="1" t="n"/>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row>
    <row r="134" ht="14.25" customHeight="1" s="184">
      <c r="A134" s="1" t="n"/>
      <c r="B134" s="1" t="n"/>
      <c r="C134" s="1" t="n"/>
      <c r="D134" s="1" t="n"/>
      <c r="E134" s="1" t="n"/>
      <c r="F134" s="1" t="n"/>
      <c r="G134" s="1" t="n"/>
      <c r="H134" s="7" t="n"/>
      <c r="I134" s="7" t="n"/>
      <c r="J134" s="7" t="n"/>
      <c r="K134" s="1" t="n"/>
      <c r="L134" s="1" t="n"/>
      <c r="M134" s="1" t="n"/>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row>
    <row r="135" ht="14.25" customHeight="1" s="184">
      <c r="A135" s="1" t="n"/>
      <c r="B135" s="1" t="n"/>
      <c r="C135" s="1" t="n"/>
      <c r="D135" s="1" t="n"/>
      <c r="E135" s="1" t="n"/>
      <c r="F135" s="1" t="n"/>
      <c r="G135" s="1" t="n"/>
      <c r="H135" s="7" t="n"/>
      <c r="I135" s="7" t="n"/>
      <c r="J135" s="7" t="n"/>
      <c r="K135" s="1" t="n"/>
      <c r="L135" s="1" t="n"/>
      <c r="M135" s="1" t="n"/>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row>
    <row r="136" ht="14.25" customHeight="1" s="184">
      <c r="A136" s="1" t="n"/>
      <c r="B136" s="1" t="n"/>
      <c r="C136" s="1" t="n"/>
      <c r="D136" s="1" t="n"/>
      <c r="E136" s="1" t="n"/>
      <c r="F136" s="1" t="n"/>
      <c r="G136" s="1" t="n"/>
      <c r="H136" s="7" t="n"/>
      <c r="I136" s="7" t="n"/>
      <c r="J136" s="7" t="n"/>
      <c r="K136" s="1" t="n"/>
      <c r="L136" s="1" t="n"/>
      <c r="M136" s="1" t="n"/>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row>
    <row r="137" ht="14.25" customHeight="1" s="184">
      <c r="A137" s="1" t="n"/>
      <c r="B137" s="1" t="n"/>
      <c r="C137" s="1" t="n"/>
      <c r="D137" s="1" t="n"/>
      <c r="E137" s="1" t="n"/>
      <c r="F137" s="1" t="n"/>
      <c r="G137" s="1" t="n"/>
      <c r="H137" s="7" t="n"/>
      <c r="I137" s="7" t="n"/>
      <c r="J137" s="7" t="n"/>
      <c r="K137" s="1" t="n"/>
      <c r="L137" s="1" t="n"/>
      <c r="M137" s="1" t="n"/>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c r="AK137" s="1" t="n"/>
      <c r="AL137" s="1" t="n"/>
      <c r="AM137" s="1" t="n"/>
      <c r="AN137" s="1" t="n"/>
      <c r="AO137" s="1" t="n"/>
      <c r="AP137" s="1" t="n"/>
      <c r="AQ137" s="1" t="n"/>
      <c r="AR137" s="1" t="n"/>
      <c r="AS137" s="1" t="n"/>
      <c r="AT137" s="1" t="n"/>
    </row>
    <row r="138" ht="14.25" customHeight="1" s="184">
      <c r="A138" s="1" t="n"/>
      <c r="B138" s="1" t="n"/>
      <c r="C138" s="1" t="n"/>
      <c r="D138" s="1" t="n"/>
      <c r="E138" s="1" t="n"/>
      <c r="F138" s="1" t="n"/>
      <c r="G138" s="1" t="n"/>
      <c r="H138" s="7" t="n"/>
      <c r="I138" s="7" t="n"/>
      <c r="J138" s="7" t="n"/>
      <c r="K138" s="1" t="n"/>
      <c r="L138" s="1" t="n"/>
      <c r="M138" s="1" t="n"/>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c r="AK138" s="1" t="n"/>
      <c r="AL138" s="1" t="n"/>
      <c r="AM138" s="1" t="n"/>
      <c r="AN138" s="1" t="n"/>
      <c r="AO138" s="1" t="n"/>
      <c r="AP138" s="1" t="n"/>
      <c r="AQ138" s="1" t="n"/>
      <c r="AR138" s="1" t="n"/>
      <c r="AS138" s="1" t="n"/>
      <c r="AT138" s="1" t="n"/>
    </row>
    <row r="139" ht="14.25" customHeight="1" s="184">
      <c r="A139" s="1" t="n"/>
      <c r="B139" s="1" t="n"/>
      <c r="C139" s="1" t="n"/>
      <c r="D139" s="1" t="n"/>
      <c r="E139" s="1" t="n"/>
      <c r="F139" s="1" t="n"/>
      <c r="G139" s="1" t="n"/>
      <c r="H139" s="7" t="n"/>
      <c r="I139" s="7" t="n"/>
      <c r="J139" s="7" t="n"/>
      <c r="K139" s="1" t="n"/>
      <c r="L139" s="1" t="n"/>
      <c r="M139" s="1" t="n"/>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c r="AK139" s="1" t="n"/>
      <c r="AL139" s="1" t="n"/>
      <c r="AM139" s="1" t="n"/>
      <c r="AN139" s="1" t="n"/>
      <c r="AO139" s="1" t="n"/>
      <c r="AP139" s="1" t="n"/>
      <c r="AQ139" s="1" t="n"/>
      <c r="AR139" s="1" t="n"/>
      <c r="AS139" s="1" t="n"/>
      <c r="AT139" s="1" t="n"/>
    </row>
    <row r="140" ht="14.25" customHeight="1" s="184">
      <c r="A140" s="1" t="n"/>
      <c r="B140" s="1" t="n"/>
      <c r="C140" s="1" t="n"/>
      <c r="D140" s="1" t="n"/>
      <c r="E140" s="1" t="n"/>
      <c r="F140" s="1" t="n"/>
      <c r="G140" s="1" t="n"/>
      <c r="H140" s="7" t="n"/>
      <c r="I140" s="7" t="n"/>
      <c r="J140" s="7" t="n"/>
      <c r="K140" s="1" t="n"/>
      <c r="L140" s="1" t="n"/>
      <c r="M140" s="1" t="n"/>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c r="AK140" s="1" t="n"/>
      <c r="AL140" s="1" t="n"/>
      <c r="AM140" s="1" t="n"/>
      <c r="AN140" s="1" t="n"/>
      <c r="AO140" s="1" t="n"/>
      <c r="AP140" s="1" t="n"/>
      <c r="AQ140" s="1" t="n"/>
      <c r="AR140" s="1" t="n"/>
      <c r="AS140" s="1" t="n"/>
      <c r="AT140" s="1" t="n"/>
    </row>
    <row r="141" ht="14.25" customHeight="1" s="184">
      <c r="A141" s="1" t="n"/>
      <c r="B141" s="1" t="n"/>
      <c r="C141" s="1" t="n"/>
      <c r="D141" s="1" t="n"/>
      <c r="E141" s="1" t="n"/>
      <c r="F141" s="1" t="n"/>
      <c r="G141" s="1" t="n"/>
      <c r="H141" s="7" t="n"/>
      <c r="I141" s="7" t="n"/>
      <c r="J141" s="7" t="n"/>
      <c r="K141" s="1" t="n"/>
      <c r="L141" s="1" t="n"/>
      <c r="M141" s="1" t="n"/>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c r="AK141" s="1" t="n"/>
      <c r="AL141" s="1" t="n"/>
      <c r="AM141" s="1" t="n"/>
      <c r="AN141" s="1" t="n"/>
      <c r="AO141" s="1" t="n"/>
      <c r="AP141" s="1" t="n"/>
      <c r="AQ141" s="1" t="n"/>
      <c r="AR141" s="1" t="n"/>
      <c r="AS141" s="1" t="n"/>
      <c r="AT141" s="1" t="n"/>
    </row>
    <row r="142" ht="14.25" customHeight="1" s="184">
      <c r="A142" s="1" t="n"/>
      <c r="B142" s="1" t="n"/>
      <c r="C142" s="1" t="n"/>
      <c r="D142" s="1" t="n"/>
      <c r="E142" s="1" t="n"/>
      <c r="F142" s="1" t="n"/>
      <c r="G142" s="1" t="n"/>
      <c r="H142" s="7" t="n"/>
      <c r="I142" s="7" t="n"/>
      <c r="J142" s="7" t="n"/>
      <c r="K142" s="1" t="n"/>
      <c r="L142" s="1" t="n"/>
      <c r="M142" s="1" t="n"/>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c r="AK142" s="1" t="n"/>
      <c r="AL142" s="1" t="n"/>
      <c r="AM142" s="1" t="n"/>
      <c r="AN142" s="1" t="n"/>
      <c r="AO142" s="1" t="n"/>
      <c r="AP142" s="1" t="n"/>
      <c r="AQ142" s="1" t="n"/>
      <c r="AR142" s="1" t="n"/>
      <c r="AS142" s="1" t="n"/>
      <c r="AT142" s="1" t="n"/>
    </row>
    <row r="143" ht="14.25" customHeight="1" s="184">
      <c r="A143" s="1" t="n"/>
      <c r="B143" s="1" t="n"/>
      <c r="C143" s="1" t="n"/>
      <c r="D143" s="1" t="n"/>
      <c r="E143" s="1" t="n"/>
      <c r="F143" s="1" t="n"/>
      <c r="G143" s="1" t="n"/>
      <c r="H143" s="7" t="n"/>
      <c r="I143" s="7" t="n"/>
      <c r="J143" s="7" t="n"/>
      <c r="K143" s="1" t="n"/>
      <c r="L143" s="1" t="n"/>
      <c r="M143" s="1" t="n"/>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c r="AK143" s="1" t="n"/>
      <c r="AL143" s="1" t="n"/>
      <c r="AM143" s="1" t="n"/>
      <c r="AN143" s="1" t="n"/>
      <c r="AO143" s="1" t="n"/>
      <c r="AP143" s="1" t="n"/>
      <c r="AQ143" s="1" t="n"/>
      <c r="AR143" s="1" t="n"/>
      <c r="AS143" s="1" t="n"/>
      <c r="AT143" s="1" t="n"/>
    </row>
    <row r="144" ht="14.25" customHeight="1" s="184">
      <c r="A144" s="1" t="n"/>
      <c r="B144" s="1" t="n"/>
      <c r="C144" s="1" t="n"/>
      <c r="D144" s="1" t="n"/>
      <c r="E144" s="1" t="n"/>
      <c r="F144" s="1" t="n"/>
      <c r="G144" s="1" t="n"/>
      <c r="H144" s="7" t="n"/>
      <c r="I144" s="7" t="n"/>
      <c r="J144" s="7" t="n"/>
      <c r="K144" s="1" t="n"/>
      <c r="L144" s="1" t="n"/>
      <c r="M144" s="1" t="n"/>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c r="AK144" s="1" t="n"/>
      <c r="AL144" s="1" t="n"/>
      <c r="AM144" s="1" t="n"/>
      <c r="AN144" s="1" t="n"/>
      <c r="AO144" s="1" t="n"/>
      <c r="AP144" s="1" t="n"/>
      <c r="AQ144" s="1" t="n"/>
      <c r="AR144" s="1" t="n"/>
      <c r="AS144" s="1" t="n"/>
      <c r="AT144" s="1" t="n"/>
    </row>
    <row r="145" ht="14.25" customHeight="1" s="184">
      <c r="A145" s="1" t="n"/>
      <c r="B145" s="1" t="n"/>
      <c r="C145" s="1" t="n"/>
      <c r="D145" s="1" t="n"/>
      <c r="E145" s="1" t="n"/>
      <c r="F145" s="1" t="n"/>
      <c r="G145" s="1" t="n"/>
      <c r="H145" s="7" t="n"/>
      <c r="I145" s="7" t="n"/>
      <c r="J145" s="7" t="n"/>
      <c r="K145" s="1" t="n"/>
      <c r="L145" s="1" t="n"/>
      <c r="M145" s="1" t="n"/>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c r="AK145" s="1" t="n"/>
      <c r="AL145" s="1" t="n"/>
      <c r="AM145" s="1" t="n"/>
      <c r="AN145" s="1" t="n"/>
      <c r="AO145" s="1" t="n"/>
      <c r="AP145" s="1" t="n"/>
      <c r="AQ145" s="1" t="n"/>
      <c r="AR145" s="1" t="n"/>
      <c r="AS145" s="1" t="n"/>
      <c r="AT145" s="1" t="n"/>
    </row>
    <row r="146" ht="14.25" customHeight="1" s="184">
      <c r="A146" s="1" t="n"/>
      <c r="B146" s="1" t="n"/>
      <c r="C146" s="1" t="n"/>
      <c r="D146" s="1" t="n"/>
      <c r="E146" s="1" t="n"/>
      <c r="F146" s="1" t="n"/>
      <c r="G146" s="1" t="n"/>
      <c r="H146" s="7" t="n"/>
      <c r="I146" s="7" t="n"/>
      <c r="J146" s="7" t="n"/>
      <c r="K146" s="1" t="n"/>
      <c r="L146" s="1" t="n"/>
      <c r="M146" s="1" t="n"/>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c r="AK146" s="1" t="n"/>
      <c r="AL146" s="1" t="n"/>
      <c r="AM146" s="1" t="n"/>
      <c r="AN146" s="1" t="n"/>
      <c r="AO146" s="1" t="n"/>
      <c r="AP146" s="1" t="n"/>
      <c r="AQ146" s="1" t="n"/>
      <c r="AR146" s="1" t="n"/>
      <c r="AS146" s="1" t="n"/>
      <c r="AT146" s="1" t="n"/>
    </row>
    <row r="147" ht="14.25" customHeight="1" s="184">
      <c r="A147" s="1" t="n"/>
      <c r="B147" s="1" t="n"/>
      <c r="C147" s="1" t="n"/>
      <c r="D147" s="1" t="n"/>
      <c r="E147" s="1" t="n"/>
      <c r="F147" s="1" t="n"/>
      <c r="G147" s="1" t="n"/>
      <c r="H147" s="7" t="n"/>
      <c r="I147" s="7" t="n"/>
      <c r="J147" s="7" t="n"/>
      <c r="K147" s="1" t="n"/>
      <c r="L147" s="1" t="n"/>
      <c r="M147" s="1" t="n"/>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c r="AK147" s="1" t="n"/>
      <c r="AL147" s="1" t="n"/>
      <c r="AM147" s="1" t="n"/>
      <c r="AN147" s="1" t="n"/>
      <c r="AO147" s="1" t="n"/>
      <c r="AP147" s="1" t="n"/>
      <c r="AQ147" s="1" t="n"/>
      <c r="AR147" s="1" t="n"/>
      <c r="AS147" s="1" t="n"/>
      <c r="AT147" s="1" t="n"/>
    </row>
    <row r="148" ht="14.25" customHeight="1" s="184">
      <c r="A148" s="1" t="n"/>
      <c r="B148" s="1" t="n"/>
      <c r="C148" s="1" t="n"/>
      <c r="D148" s="1" t="n"/>
      <c r="E148" s="1" t="n"/>
      <c r="F148" s="1" t="n"/>
      <c r="G148" s="1" t="n"/>
      <c r="H148" s="7" t="n"/>
      <c r="I148" s="7" t="n"/>
      <c r="J148" s="7" t="n"/>
      <c r="K148" s="1" t="n"/>
      <c r="L148" s="1" t="n"/>
      <c r="M148" s="1" t="n"/>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c r="AK148" s="1" t="n"/>
      <c r="AL148" s="1" t="n"/>
      <c r="AM148" s="1" t="n"/>
      <c r="AN148" s="1" t="n"/>
      <c r="AO148" s="1" t="n"/>
      <c r="AP148" s="1" t="n"/>
      <c r="AQ148" s="1" t="n"/>
      <c r="AR148" s="1" t="n"/>
      <c r="AS148" s="1" t="n"/>
      <c r="AT148" s="1" t="n"/>
    </row>
    <row r="149" ht="14.25" customHeight="1" s="184">
      <c r="A149" s="1" t="n"/>
      <c r="B149" s="1" t="n"/>
      <c r="C149" s="1" t="n"/>
      <c r="D149" s="1" t="n"/>
      <c r="E149" s="1" t="n"/>
      <c r="F149" s="1" t="n"/>
      <c r="G149" s="1" t="n"/>
      <c r="H149" s="7" t="n"/>
      <c r="I149" s="7" t="n"/>
      <c r="J149" s="7" t="n"/>
      <c r="K149" s="1" t="n"/>
      <c r="L149" s="1" t="n"/>
      <c r="M149" s="1" t="n"/>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c r="AK149" s="1" t="n"/>
      <c r="AL149" s="1" t="n"/>
      <c r="AM149" s="1" t="n"/>
      <c r="AN149" s="1" t="n"/>
      <c r="AO149" s="1" t="n"/>
      <c r="AP149" s="1" t="n"/>
      <c r="AQ149" s="1" t="n"/>
      <c r="AR149" s="1" t="n"/>
      <c r="AS149" s="1" t="n"/>
      <c r="AT149" s="1" t="n"/>
    </row>
    <row r="150" ht="14.25" customHeight="1" s="184">
      <c r="A150" s="1" t="n"/>
      <c r="B150" s="1" t="n"/>
      <c r="C150" s="1" t="n"/>
      <c r="D150" s="1" t="n"/>
      <c r="E150" s="1" t="n"/>
      <c r="F150" s="1" t="n"/>
      <c r="G150" s="1" t="n"/>
      <c r="H150" s="7" t="n"/>
      <c r="I150" s="7" t="n"/>
      <c r="J150" s="7" t="n"/>
      <c r="K150" s="1" t="n"/>
      <c r="L150" s="1" t="n"/>
      <c r="M150" s="1" t="n"/>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c r="AK150" s="1" t="n"/>
      <c r="AL150" s="1" t="n"/>
      <c r="AM150" s="1" t="n"/>
      <c r="AN150" s="1" t="n"/>
      <c r="AO150" s="1" t="n"/>
      <c r="AP150" s="1" t="n"/>
      <c r="AQ150" s="1" t="n"/>
      <c r="AR150" s="1" t="n"/>
      <c r="AS150" s="1" t="n"/>
      <c r="AT150" s="1" t="n"/>
    </row>
    <row r="151" ht="14.25" customHeight="1" s="184">
      <c r="A151" s="1" t="n"/>
      <c r="B151" s="1" t="n"/>
      <c r="C151" s="1" t="n"/>
      <c r="D151" s="1" t="n"/>
      <c r="E151" s="1" t="n"/>
      <c r="F151" s="1" t="n"/>
      <c r="G151" s="1" t="n"/>
      <c r="H151" s="7" t="n"/>
      <c r="I151" s="7" t="n"/>
      <c r="J151" s="7" t="n"/>
      <c r="K151" s="1" t="n"/>
      <c r="L151" s="1" t="n"/>
      <c r="M151" s="1" t="n"/>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c r="AK151" s="1" t="n"/>
      <c r="AL151" s="1" t="n"/>
      <c r="AM151" s="1" t="n"/>
      <c r="AN151" s="1" t="n"/>
      <c r="AO151" s="1" t="n"/>
      <c r="AP151" s="1" t="n"/>
      <c r="AQ151" s="1" t="n"/>
      <c r="AR151" s="1" t="n"/>
      <c r="AS151" s="1" t="n"/>
      <c r="AT151" s="1" t="n"/>
    </row>
    <row r="152" ht="14.25" customHeight="1" s="184">
      <c r="A152" s="1" t="n"/>
      <c r="B152" s="1" t="n"/>
      <c r="C152" s="1" t="n"/>
      <c r="D152" s="1" t="n"/>
      <c r="E152" s="1" t="n"/>
      <c r="F152" s="1" t="n"/>
      <c r="G152" s="1" t="n"/>
      <c r="H152" s="7" t="n"/>
      <c r="I152" s="7" t="n"/>
      <c r="J152" s="7" t="n"/>
      <c r="K152" s="1" t="n"/>
      <c r="L152" s="1" t="n"/>
      <c r="M152" s="1" t="n"/>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c r="AK152" s="1" t="n"/>
      <c r="AL152" s="1" t="n"/>
      <c r="AM152" s="1" t="n"/>
      <c r="AN152" s="1" t="n"/>
      <c r="AO152" s="1" t="n"/>
      <c r="AP152" s="1" t="n"/>
      <c r="AQ152" s="1" t="n"/>
      <c r="AR152" s="1" t="n"/>
      <c r="AS152" s="1" t="n"/>
      <c r="AT152" s="1" t="n"/>
    </row>
    <row r="153" ht="14.25" customHeight="1" s="184">
      <c r="A153" s="1" t="n"/>
      <c r="B153" s="1" t="n"/>
      <c r="C153" s="1" t="n"/>
      <c r="D153" s="1" t="n"/>
      <c r="E153" s="1" t="n"/>
      <c r="F153" s="1" t="n"/>
      <c r="G153" s="1" t="n"/>
      <c r="H153" s="7" t="n"/>
      <c r="I153" s="7" t="n"/>
      <c r="J153" s="7" t="n"/>
      <c r="K153" s="1" t="n"/>
      <c r="L153" s="1" t="n"/>
      <c r="M153" s="1" t="n"/>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c r="AK153" s="1" t="n"/>
      <c r="AL153" s="1" t="n"/>
      <c r="AM153" s="1" t="n"/>
      <c r="AN153" s="1" t="n"/>
      <c r="AO153" s="1" t="n"/>
      <c r="AP153" s="1" t="n"/>
      <c r="AQ153" s="1" t="n"/>
      <c r="AR153" s="1" t="n"/>
      <c r="AS153" s="1" t="n"/>
      <c r="AT153" s="1" t="n"/>
    </row>
    <row r="154" ht="14.25" customHeight="1" s="184">
      <c r="A154" s="1" t="n"/>
      <c r="B154" s="1" t="n"/>
      <c r="C154" s="1" t="n"/>
      <c r="D154" s="1" t="n"/>
      <c r="E154" s="1" t="n"/>
      <c r="F154" s="1" t="n"/>
      <c r="G154" s="1" t="n"/>
      <c r="H154" s="7" t="n"/>
      <c r="I154" s="7" t="n"/>
      <c r="J154" s="7" t="n"/>
      <c r="K154" s="1" t="n"/>
      <c r="L154" s="1" t="n"/>
      <c r="M154" s="1" t="n"/>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c r="AK154" s="1" t="n"/>
      <c r="AL154" s="1" t="n"/>
      <c r="AM154" s="1" t="n"/>
      <c r="AN154" s="1" t="n"/>
      <c r="AO154" s="1" t="n"/>
      <c r="AP154" s="1" t="n"/>
      <c r="AQ154" s="1" t="n"/>
      <c r="AR154" s="1" t="n"/>
      <c r="AS154" s="1" t="n"/>
      <c r="AT154" s="1" t="n"/>
    </row>
    <row r="155" ht="14.25" customHeight="1" s="184">
      <c r="A155" s="1" t="n"/>
      <c r="B155" s="1" t="n"/>
      <c r="C155" s="1" t="n"/>
      <c r="D155" s="1" t="n"/>
      <c r="E155" s="1" t="n"/>
      <c r="F155" s="1" t="n"/>
      <c r="G155" s="1" t="n"/>
      <c r="H155" s="7" t="n"/>
      <c r="I155" s="7" t="n"/>
      <c r="J155" s="7" t="n"/>
      <c r="K155" s="1" t="n"/>
      <c r="L155" s="1" t="n"/>
      <c r="M155" s="1" t="n"/>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c r="AK155" s="1" t="n"/>
      <c r="AL155" s="1" t="n"/>
      <c r="AM155" s="1" t="n"/>
      <c r="AN155" s="1" t="n"/>
      <c r="AO155" s="1" t="n"/>
      <c r="AP155" s="1" t="n"/>
      <c r="AQ155" s="1" t="n"/>
      <c r="AR155" s="1" t="n"/>
      <c r="AS155" s="1" t="n"/>
      <c r="AT155" s="1" t="n"/>
    </row>
    <row r="156" ht="14.25" customHeight="1" s="184">
      <c r="A156" s="1" t="n"/>
      <c r="B156" s="1" t="n"/>
      <c r="C156" s="1" t="n"/>
      <c r="D156" s="1" t="n"/>
      <c r="E156" s="1" t="n"/>
      <c r="F156" s="1" t="n"/>
      <c r="G156" s="1" t="n"/>
      <c r="H156" s="7" t="n"/>
      <c r="I156" s="7" t="n"/>
      <c r="J156" s="7" t="n"/>
      <c r="K156" s="1" t="n"/>
      <c r="L156" s="1" t="n"/>
      <c r="M156" s="1" t="n"/>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c r="AK156" s="1" t="n"/>
      <c r="AL156" s="1" t="n"/>
      <c r="AM156" s="1" t="n"/>
      <c r="AN156" s="1" t="n"/>
      <c r="AO156" s="1" t="n"/>
      <c r="AP156" s="1" t="n"/>
      <c r="AQ156" s="1" t="n"/>
      <c r="AR156" s="1" t="n"/>
      <c r="AS156" s="1" t="n"/>
      <c r="AT156" s="1" t="n"/>
    </row>
    <row r="157" ht="14.25" customHeight="1" s="184">
      <c r="A157" s="1" t="n"/>
      <c r="B157" s="1" t="n"/>
      <c r="C157" s="1" t="n"/>
      <c r="D157" s="1" t="n"/>
      <c r="E157" s="1" t="n"/>
      <c r="F157" s="1" t="n"/>
      <c r="G157" s="1" t="n"/>
      <c r="H157" s="7" t="n"/>
      <c r="I157" s="7" t="n"/>
      <c r="J157" s="7" t="n"/>
      <c r="K157" s="1" t="n"/>
      <c r="L157" s="1" t="n"/>
      <c r="M157" s="1" t="n"/>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c r="AK157" s="1" t="n"/>
      <c r="AL157" s="1" t="n"/>
      <c r="AM157" s="1" t="n"/>
      <c r="AN157" s="1" t="n"/>
      <c r="AO157" s="1" t="n"/>
      <c r="AP157" s="1" t="n"/>
      <c r="AQ157" s="1" t="n"/>
      <c r="AR157" s="1" t="n"/>
      <c r="AS157" s="1" t="n"/>
      <c r="AT157" s="1" t="n"/>
    </row>
    <row r="158" ht="14.25" customHeight="1" s="184">
      <c r="A158" s="1" t="n"/>
      <c r="B158" s="1" t="n"/>
      <c r="C158" s="1" t="n"/>
      <c r="D158" s="1" t="n"/>
      <c r="E158" s="1" t="n"/>
      <c r="F158" s="1" t="n"/>
      <c r="G158" s="1" t="n"/>
      <c r="H158" s="7" t="n"/>
      <c r="I158" s="7" t="n"/>
      <c r="J158" s="7" t="n"/>
      <c r="K158" s="1" t="n"/>
      <c r="L158" s="1" t="n"/>
      <c r="M158" s="1"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c r="AK158" s="1" t="n"/>
      <c r="AL158" s="1" t="n"/>
      <c r="AM158" s="1" t="n"/>
      <c r="AN158" s="1" t="n"/>
      <c r="AO158" s="1" t="n"/>
      <c r="AP158" s="1" t="n"/>
      <c r="AQ158" s="1" t="n"/>
      <c r="AR158" s="1" t="n"/>
      <c r="AS158" s="1" t="n"/>
      <c r="AT158" s="1" t="n"/>
    </row>
    <row r="159" ht="14.25" customHeight="1" s="184">
      <c r="A159" s="1" t="n"/>
      <c r="B159" s="1" t="n"/>
      <c r="C159" s="1" t="n"/>
      <c r="D159" s="1" t="n"/>
      <c r="E159" s="1" t="n"/>
      <c r="F159" s="1" t="n"/>
      <c r="G159" s="1" t="n"/>
      <c r="H159" s="7" t="n"/>
      <c r="I159" s="7" t="n"/>
      <c r="J159" s="7" t="n"/>
      <c r="K159" s="1" t="n"/>
      <c r="L159" s="1" t="n"/>
      <c r="M159" s="1"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c r="AK159" s="1" t="n"/>
      <c r="AL159" s="1" t="n"/>
      <c r="AM159" s="1" t="n"/>
      <c r="AN159" s="1" t="n"/>
      <c r="AO159" s="1" t="n"/>
      <c r="AP159" s="1" t="n"/>
      <c r="AQ159" s="1" t="n"/>
      <c r="AR159" s="1" t="n"/>
      <c r="AS159" s="1" t="n"/>
      <c r="AT159" s="1" t="n"/>
    </row>
    <row r="160" ht="14.25" customHeight="1" s="184">
      <c r="A160" s="1" t="n"/>
      <c r="B160" s="1" t="n"/>
      <c r="C160" s="1" t="n"/>
      <c r="D160" s="1" t="n"/>
      <c r="E160" s="1" t="n"/>
      <c r="F160" s="1" t="n"/>
      <c r="G160" s="1" t="n"/>
      <c r="H160" s="7" t="n"/>
      <c r="I160" s="7" t="n"/>
      <c r="J160" s="7" t="n"/>
      <c r="K160" s="1" t="n"/>
      <c r="L160" s="1" t="n"/>
      <c r="M160" s="1" t="n"/>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c r="AK160" s="1" t="n"/>
      <c r="AL160" s="1" t="n"/>
      <c r="AM160" s="1" t="n"/>
      <c r="AN160" s="1" t="n"/>
      <c r="AO160" s="1" t="n"/>
      <c r="AP160" s="1" t="n"/>
      <c r="AQ160" s="1" t="n"/>
      <c r="AR160" s="1" t="n"/>
      <c r="AS160" s="1" t="n"/>
      <c r="AT160" s="1" t="n"/>
    </row>
    <row r="161" ht="14.25" customHeight="1" s="184">
      <c r="A161" s="1" t="n"/>
      <c r="B161" s="1" t="n"/>
      <c r="C161" s="1" t="n"/>
      <c r="D161" s="1" t="n"/>
      <c r="E161" s="1" t="n"/>
      <c r="F161" s="1" t="n"/>
      <c r="G161" s="1" t="n"/>
      <c r="H161" s="7" t="n"/>
      <c r="I161" s="7" t="n"/>
      <c r="J161" s="7" t="n"/>
      <c r="K161" s="1" t="n"/>
      <c r="L161" s="1" t="n"/>
      <c r="M161" s="1" t="n"/>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c r="AK161" s="1" t="n"/>
      <c r="AL161" s="1" t="n"/>
      <c r="AM161" s="1" t="n"/>
      <c r="AN161" s="1" t="n"/>
      <c r="AO161" s="1" t="n"/>
      <c r="AP161" s="1" t="n"/>
      <c r="AQ161" s="1" t="n"/>
      <c r="AR161" s="1" t="n"/>
      <c r="AS161" s="1" t="n"/>
      <c r="AT161" s="1" t="n"/>
    </row>
    <row r="162" ht="14.25" customHeight="1" s="184">
      <c r="A162" s="1" t="n"/>
      <c r="B162" s="1" t="n"/>
      <c r="C162" s="1" t="n"/>
      <c r="D162" s="1" t="n"/>
      <c r="E162" s="1" t="n"/>
      <c r="F162" s="1" t="n"/>
      <c r="G162" s="1" t="n"/>
      <c r="H162" s="7" t="n"/>
      <c r="I162" s="7" t="n"/>
      <c r="J162" s="7" t="n"/>
      <c r="K162" s="1" t="n"/>
      <c r="L162" s="1" t="n"/>
      <c r="M162" s="1" t="n"/>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c r="AK162" s="1" t="n"/>
      <c r="AL162" s="1" t="n"/>
      <c r="AM162" s="1" t="n"/>
      <c r="AN162" s="1" t="n"/>
      <c r="AO162" s="1" t="n"/>
      <c r="AP162" s="1" t="n"/>
      <c r="AQ162" s="1" t="n"/>
      <c r="AR162" s="1" t="n"/>
      <c r="AS162" s="1" t="n"/>
      <c r="AT162" s="1" t="n"/>
    </row>
    <row r="163" ht="14.25" customHeight="1" s="184">
      <c r="A163" s="1" t="n"/>
      <c r="B163" s="1" t="n"/>
      <c r="C163" s="1" t="n"/>
      <c r="D163" s="1" t="n"/>
      <c r="E163" s="1" t="n"/>
      <c r="F163" s="1" t="n"/>
      <c r="G163" s="1" t="n"/>
      <c r="H163" s="7" t="n"/>
      <c r="I163" s="7" t="n"/>
      <c r="J163" s="7" t="n"/>
      <c r="K163" s="1" t="n"/>
      <c r="L163" s="1" t="n"/>
      <c r="M163" s="1" t="n"/>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c r="AK163" s="1" t="n"/>
      <c r="AL163" s="1" t="n"/>
      <c r="AM163" s="1" t="n"/>
      <c r="AN163" s="1" t="n"/>
      <c r="AO163" s="1" t="n"/>
      <c r="AP163" s="1" t="n"/>
      <c r="AQ163" s="1" t="n"/>
      <c r="AR163" s="1" t="n"/>
      <c r="AS163" s="1" t="n"/>
      <c r="AT163" s="1" t="n"/>
    </row>
    <row r="164" ht="14.25" customHeight="1" s="184">
      <c r="A164" s="1" t="n"/>
      <c r="B164" s="1" t="n"/>
      <c r="C164" s="1" t="n"/>
      <c r="D164" s="1" t="n"/>
      <c r="E164" s="1" t="n"/>
      <c r="F164" s="1" t="n"/>
      <c r="G164" s="1" t="n"/>
      <c r="H164" s="7" t="n"/>
      <c r="I164" s="7" t="n"/>
      <c r="J164" s="7" t="n"/>
      <c r="K164" s="1" t="n"/>
      <c r="L164" s="1" t="n"/>
      <c r="M164" s="1" t="n"/>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c r="AK164" s="1" t="n"/>
      <c r="AL164" s="1" t="n"/>
      <c r="AM164" s="1" t="n"/>
      <c r="AN164" s="1" t="n"/>
      <c r="AO164" s="1" t="n"/>
      <c r="AP164" s="1" t="n"/>
      <c r="AQ164" s="1" t="n"/>
      <c r="AR164" s="1" t="n"/>
      <c r="AS164" s="1" t="n"/>
      <c r="AT164" s="1" t="n"/>
    </row>
    <row r="165" ht="14.25" customHeight="1" s="184">
      <c r="A165" s="1" t="n"/>
      <c r="B165" s="1" t="n"/>
      <c r="C165" s="1" t="n"/>
      <c r="D165" s="1" t="n"/>
      <c r="E165" s="1" t="n"/>
      <c r="F165" s="1" t="n"/>
      <c r="G165" s="1" t="n"/>
      <c r="H165" s="7" t="n"/>
      <c r="I165" s="7" t="n"/>
      <c r="J165" s="7" t="n"/>
      <c r="K165" s="1" t="n"/>
      <c r="L165" s="1" t="n"/>
      <c r="M165" s="1" t="n"/>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c r="AK165" s="1" t="n"/>
      <c r="AL165" s="1" t="n"/>
      <c r="AM165" s="1" t="n"/>
      <c r="AN165" s="1" t="n"/>
      <c r="AO165" s="1" t="n"/>
      <c r="AP165" s="1" t="n"/>
      <c r="AQ165" s="1" t="n"/>
      <c r="AR165" s="1" t="n"/>
      <c r="AS165" s="1" t="n"/>
      <c r="AT165" s="1" t="n"/>
    </row>
    <row r="166" ht="14.25" customHeight="1" s="184">
      <c r="A166" s="1" t="n"/>
      <c r="B166" s="1" t="n"/>
      <c r="C166" s="1" t="n"/>
      <c r="D166" s="1" t="n"/>
      <c r="E166" s="1" t="n"/>
      <c r="F166" s="1" t="n"/>
      <c r="G166" s="1" t="n"/>
      <c r="H166" s="7" t="n"/>
      <c r="I166" s="7" t="n"/>
      <c r="J166" s="7" t="n"/>
      <c r="K166" s="1" t="n"/>
      <c r="L166" s="1" t="n"/>
      <c r="M166" s="1" t="n"/>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c r="AK166" s="1" t="n"/>
      <c r="AL166" s="1" t="n"/>
      <c r="AM166" s="1" t="n"/>
      <c r="AN166" s="1" t="n"/>
      <c r="AO166" s="1" t="n"/>
      <c r="AP166" s="1" t="n"/>
      <c r="AQ166" s="1" t="n"/>
      <c r="AR166" s="1" t="n"/>
      <c r="AS166" s="1" t="n"/>
      <c r="AT166" s="1" t="n"/>
    </row>
    <row r="167" ht="14.25" customHeight="1" s="184">
      <c r="A167" s="1" t="n"/>
      <c r="B167" s="1" t="n"/>
      <c r="C167" s="1" t="n"/>
      <c r="D167" s="1" t="n"/>
      <c r="E167" s="1" t="n"/>
      <c r="F167" s="1" t="n"/>
      <c r="G167" s="1" t="n"/>
      <c r="H167" s="7" t="n"/>
      <c r="I167" s="7" t="n"/>
      <c r="J167" s="7" t="n"/>
      <c r="K167" s="1" t="n"/>
      <c r="L167" s="1" t="n"/>
      <c r="M167" s="1" t="n"/>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c r="AK167" s="1" t="n"/>
      <c r="AL167" s="1" t="n"/>
      <c r="AM167" s="1" t="n"/>
      <c r="AN167" s="1" t="n"/>
      <c r="AO167" s="1" t="n"/>
      <c r="AP167" s="1" t="n"/>
      <c r="AQ167" s="1" t="n"/>
      <c r="AR167" s="1" t="n"/>
      <c r="AS167" s="1" t="n"/>
      <c r="AT167" s="1" t="n"/>
    </row>
    <row r="168" ht="14.25" customHeight="1" s="184">
      <c r="A168" s="1" t="n"/>
      <c r="B168" s="1" t="n"/>
      <c r="C168" s="1" t="n"/>
      <c r="D168" s="1" t="n"/>
      <c r="E168" s="1" t="n"/>
      <c r="F168" s="1" t="n"/>
      <c r="G168" s="1" t="n"/>
      <c r="H168" s="7" t="n"/>
      <c r="I168" s="7" t="n"/>
      <c r="J168" s="7" t="n"/>
      <c r="K168" s="1" t="n"/>
      <c r="L168" s="1" t="n"/>
      <c r="M168" s="1" t="n"/>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c r="AK168" s="1" t="n"/>
      <c r="AL168" s="1" t="n"/>
      <c r="AM168" s="1" t="n"/>
      <c r="AN168" s="1" t="n"/>
      <c r="AO168" s="1" t="n"/>
      <c r="AP168" s="1" t="n"/>
      <c r="AQ168" s="1" t="n"/>
      <c r="AR168" s="1" t="n"/>
      <c r="AS168" s="1" t="n"/>
      <c r="AT168" s="1" t="n"/>
    </row>
    <row r="169" ht="14.25" customHeight="1" s="184">
      <c r="A169" s="1" t="n"/>
      <c r="B169" s="1" t="n"/>
      <c r="C169" s="1" t="n"/>
      <c r="D169" s="1" t="n"/>
      <c r="E169" s="1" t="n"/>
      <c r="F169" s="1" t="n"/>
      <c r="G169" s="1" t="n"/>
      <c r="H169" s="7" t="n"/>
      <c r="I169" s="7" t="n"/>
      <c r="J169" s="7" t="n"/>
      <c r="K169" s="1" t="n"/>
      <c r="L169" s="1" t="n"/>
      <c r="M169" s="1" t="n"/>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c r="AK169" s="1" t="n"/>
      <c r="AL169" s="1" t="n"/>
      <c r="AM169" s="1" t="n"/>
      <c r="AN169" s="1" t="n"/>
      <c r="AO169" s="1" t="n"/>
      <c r="AP169" s="1" t="n"/>
      <c r="AQ169" s="1" t="n"/>
      <c r="AR169" s="1" t="n"/>
      <c r="AS169" s="1" t="n"/>
      <c r="AT169" s="1" t="n"/>
    </row>
    <row r="170" ht="14.25" customHeight="1" s="184">
      <c r="A170" s="1" t="n"/>
      <c r="B170" s="1" t="n"/>
      <c r="C170" s="1" t="n"/>
      <c r="D170" s="1" t="n"/>
      <c r="E170" s="1" t="n"/>
      <c r="F170" s="1" t="n"/>
      <c r="G170" s="1" t="n"/>
      <c r="H170" s="7" t="n"/>
      <c r="I170" s="7" t="n"/>
      <c r="J170" s="7" t="n"/>
      <c r="K170" s="1" t="n"/>
      <c r="L170" s="1" t="n"/>
      <c r="M170" s="1" t="n"/>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c r="AK170" s="1" t="n"/>
      <c r="AL170" s="1" t="n"/>
      <c r="AM170" s="1" t="n"/>
      <c r="AN170" s="1" t="n"/>
      <c r="AO170" s="1" t="n"/>
      <c r="AP170" s="1" t="n"/>
      <c r="AQ170" s="1" t="n"/>
      <c r="AR170" s="1" t="n"/>
      <c r="AS170" s="1" t="n"/>
      <c r="AT170" s="1" t="n"/>
    </row>
    <row r="171" ht="14.25" customHeight="1" s="184">
      <c r="A171" s="1" t="n"/>
      <c r="B171" s="1" t="n"/>
      <c r="C171" s="1" t="n"/>
      <c r="D171" s="1" t="n"/>
      <c r="E171" s="1" t="n"/>
      <c r="F171" s="1" t="n"/>
      <c r="G171" s="1" t="n"/>
      <c r="H171" s="7" t="n"/>
      <c r="I171" s="7" t="n"/>
      <c r="J171" s="7" t="n"/>
      <c r="K171" s="1" t="n"/>
      <c r="L171" s="1" t="n"/>
      <c r="M171" s="1" t="n"/>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c r="AK171" s="1" t="n"/>
      <c r="AL171" s="1" t="n"/>
      <c r="AM171" s="1" t="n"/>
      <c r="AN171" s="1" t="n"/>
      <c r="AO171" s="1" t="n"/>
      <c r="AP171" s="1" t="n"/>
      <c r="AQ171" s="1" t="n"/>
      <c r="AR171" s="1" t="n"/>
      <c r="AS171" s="1" t="n"/>
      <c r="AT171" s="1" t="n"/>
    </row>
    <row r="172" ht="14.25" customHeight="1" s="184">
      <c r="A172" s="1" t="n"/>
      <c r="B172" s="1" t="n"/>
      <c r="C172" s="1" t="n"/>
      <c r="D172" s="1" t="n"/>
      <c r="E172" s="1" t="n"/>
      <c r="F172" s="1" t="n"/>
      <c r="G172" s="1" t="n"/>
      <c r="H172" s="7" t="n"/>
      <c r="I172" s="7" t="n"/>
      <c r="J172" s="7" t="n"/>
      <c r="K172" s="1" t="n"/>
      <c r="L172" s="1" t="n"/>
      <c r="M172" s="1" t="n"/>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c r="AK172" s="1" t="n"/>
      <c r="AL172" s="1" t="n"/>
      <c r="AM172" s="1" t="n"/>
      <c r="AN172" s="1" t="n"/>
      <c r="AO172" s="1" t="n"/>
      <c r="AP172" s="1" t="n"/>
      <c r="AQ172" s="1" t="n"/>
      <c r="AR172" s="1" t="n"/>
      <c r="AS172" s="1" t="n"/>
      <c r="AT172" s="1" t="n"/>
    </row>
    <row r="173" ht="14.25" customHeight="1" s="184">
      <c r="A173" s="1" t="n"/>
      <c r="B173" s="1" t="n"/>
      <c r="C173" s="1" t="n"/>
      <c r="D173" s="1" t="n"/>
      <c r="E173" s="1" t="n"/>
      <c r="F173" s="1" t="n"/>
      <c r="G173" s="1" t="n"/>
      <c r="H173" s="7" t="n"/>
      <c r="I173" s="7" t="n"/>
      <c r="J173" s="7" t="n"/>
      <c r="K173" s="1" t="n"/>
      <c r="L173" s="1" t="n"/>
      <c r="M173" s="1" t="n"/>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c r="AK173" s="1" t="n"/>
      <c r="AL173" s="1" t="n"/>
      <c r="AM173" s="1" t="n"/>
      <c r="AN173" s="1" t="n"/>
      <c r="AO173" s="1" t="n"/>
      <c r="AP173" s="1" t="n"/>
      <c r="AQ173" s="1" t="n"/>
      <c r="AR173" s="1" t="n"/>
      <c r="AS173" s="1" t="n"/>
      <c r="AT173" s="1" t="n"/>
    </row>
    <row r="174" ht="14.25" customHeight="1" s="184">
      <c r="A174" s="1" t="n"/>
      <c r="B174" s="1" t="n"/>
      <c r="C174" s="1" t="n"/>
      <c r="D174" s="1" t="n"/>
      <c r="E174" s="1" t="n"/>
      <c r="F174" s="1" t="n"/>
      <c r="G174" s="1" t="n"/>
      <c r="H174" s="7" t="n"/>
      <c r="I174" s="7" t="n"/>
      <c r="J174" s="7" t="n"/>
      <c r="K174" s="1" t="n"/>
      <c r="L174" s="1" t="n"/>
      <c r="M174" s="1" t="n"/>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c r="AK174" s="1" t="n"/>
      <c r="AL174" s="1" t="n"/>
      <c r="AM174" s="1" t="n"/>
      <c r="AN174" s="1" t="n"/>
      <c r="AO174" s="1" t="n"/>
      <c r="AP174" s="1" t="n"/>
      <c r="AQ174" s="1" t="n"/>
      <c r="AR174" s="1" t="n"/>
      <c r="AS174" s="1" t="n"/>
      <c r="AT174" s="1" t="n"/>
    </row>
    <row r="175" ht="14.25" customHeight="1" s="184">
      <c r="A175" s="1" t="n"/>
      <c r="B175" s="1" t="n"/>
      <c r="C175" s="1" t="n"/>
      <c r="D175" s="1" t="n"/>
      <c r="E175" s="1" t="n"/>
      <c r="F175" s="1" t="n"/>
      <c r="G175" s="1" t="n"/>
      <c r="H175" s="7" t="n"/>
      <c r="I175" s="7" t="n"/>
      <c r="J175" s="7" t="n"/>
      <c r="K175" s="1" t="n"/>
      <c r="L175" s="1" t="n"/>
      <c r="M175" s="1" t="n"/>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c r="AK175" s="1" t="n"/>
      <c r="AL175" s="1" t="n"/>
      <c r="AM175" s="1" t="n"/>
      <c r="AN175" s="1" t="n"/>
      <c r="AO175" s="1" t="n"/>
      <c r="AP175" s="1" t="n"/>
      <c r="AQ175" s="1" t="n"/>
      <c r="AR175" s="1" t="n"/>
      <c r="AS175" s="1" t="n"/>
      <c r="AT175" s="1" t="n"/>
    </row>
    <row r="176" ht="14.25" customHeight="1" s="184">
      <c r="A176" s="1" t="n"/>
      <c r="B176" s="1" t="n"/>
      <c r="C176" s="1" t="n"/>
      <c r="D176" s="1" t="n"/>
      <c r="E176" s="1" t="n"/>
      <c r="F176" s="1" t="n"/>
      <c r="G176" s="1" t="n"/>
      <c r="H176" s="7" t="n"/>
      <c r="I176" s="7" t="n"/>
      <c r="J176" s="7" t="n"/>
      <c r="K176" s="1" t="n"/>
      <c r="L176" s="1" t="n"/>
      <c r="M176" s="1" t="n"/>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c r="AK176" s="1" t="n"/>
      <c r="AL176" s="1" t="n"/>
      <c r="AM176" s="1" t="n"/>
      <c r="AN176" s="1" t="n"/>
      <c r="AO176" s="1" t="n"/>
      <c r="AP176" s="1" t="n"/>
      <c r="AQ176" s="1" t="n"/>
      <c r="AR176" s="1" t="n"/>
      <c r="AS176" s="1" t="n"/>
      <c r="AT176" s="1" t="n"/>
    </row>
    <row r="177" ht="14.25" customHeight="1" s="184">
      <c r="A177" s="1" t="n"/>
      <c r="B177" s="1" t="n"/>
      <c r="C177" s="1" t="n"/>
      <c r="D177" s="1" t="n"/>
      <c r="E177" s="1" t="n"/>
      <c r="F177" s="1" t="n"/>
      <c r="G177" s="1" t="n"/>
      <c r="H177" s="7" t="n"/>
      <c r="I177" s="7" t="n"/>
      <c r="J177" s="7" t="n"/>
      <c r="K177" s="1" t="n"/>
      <c r="L177" s="1" t="n"/>
      <c r="M177" s="1" t="n"/>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c r="AK177" s="1" t="n"/>
      <c r="AL177" s="1" t="n"/>
      <c r="AM177" s="1" t="n"/>
      <c r="AN177" s="1" t="n"/>
      <c r="AO177" s="1" t="n"/>
      <c r="AP177" s="1" t="n"/>
      <c r="AQ177" s="1" t="n"/>
      <c r="AR177" s="1" t="n"/>
      <c r="AS177" s="1" t="n"/>
      <c r="AT177" s="1" t="n"/>
    </row>
    <row r="178" ht="14.25" customHeight="1" s="184">
      <c r="A178" s="1" t="n"/>
      <c r="B178" s="1" t="n"/>
      <c r="C178" s="1" t="n"/>
      <c r="D178" s="1" t="n"/>
      <c r="E178" s="1" t="n"/>
      <c r="F178" s="1" t="n"/>
      <c r="G178" s="1" t="n"/>
      <c r="H178" s="7" t="n"/>
      <c r="I178" s="7" t="n"/>
      <c r="J178" s="7" t="n"/>
      <c r="K178" s="1" t="n"/>
      <c r="L178" s="1" t="n"/>
      <c r="M178" s="1" t="n"/>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c r="AK178" s="1" t="n"/>
      <c r="AL178" s="1" t="n"/>
      <c r="AM178" s="1" t="n"/>
      <c r="AN178" s="1" t="n"/>
      <c r="AO178" s="1" t="n"/>
      <c r="AP178" s="1" t="n"/>
      <c r="AQ178" s="1" t="n"/>
      <c r="AR178" s="1" t="n"/>
      <c r="AS178" s="1" t="n"/>
      <c r="AT178" s="1" t="n"/>
    </row>
    <row r="179" ht="14.25" customHeight="1" s="184">
      <c r="A179" s="1" t="n"/>
      <c r="B179" s="1" t="n"/>
      <c r="C179" s="1" t="n"/>
      <c r="D179" s="1" t="n"/>
      <c r="E179" s="1" t="n"/>
      <c r="F179" s="1" t="n"/>
      <c r="G179" s="1" t="n"/>
      <c r="H179" s="7" t="n"/>
      <c r="I179" s="7" t="n"/>
      <c r="J179" s="7" t="n"/>
      <c r="K179" s="1" t="n"/>
      <c r="L179" s="1" t="n"/>
      <c r="M179" s="1" t="n"/>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c r="AK179" s="1" t="n"/>
      <c r="AL179" s="1" t="n"/>
      <c r="AM179" s="1" t="n"/>
      <c r="AN179" s="1" t="n"/>
      <c r="AO179" s="1" t="n"/>
      <c r="AP179" s="1" t="n"/>
      <c r="AQ179" s="1" t="n"/>
      <c r="AR179" s="1" t="n"/>
      <c r="AS179" s="1" t="n"/>
      <c r="AT179" s="1" t="n"/>
    </row>
    <row r="180" ht="14.25" customHeight="1" s="184">
      <c r="A180" s="1" t="n"/>
      <c r="B180" s="1" t="n"/>
      <c r="C180" s="1" t="n"/>
      <c r="D180" s="1" t="n"/>
      <c r="E180" s="1" t="n"/>
      <c r="F180" s="1" t="n"/>
      <c r="G180" s="1" t="n"/>
      <c r="H180" s="7" t="n"/>
      <c r="I180" s="7" t="n"/>
      <c r="J180" s="7" t="n"/>
      <c r="K180" s="1" t="n"/>
      <c r="L180" s="1" t="n"/>
      <c r="M180" s="1" t="n"/>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c r="AK180" s="1" t="n"/>
      <c r="AL180" s="1" t="n"/>
      <c r="AM180" s="1" t="n"/>
      <c r="AN180" s="1" t="n"/>
      <c r="AO180" s="1" t="n"/>
      <c r="AP180" s="1" t="n"/>
      <c r="AQ180" s="1" t="n"/>
      <c r="AR180" s="1" t="n"/>
      <c r="AS180" s="1" t="n"/>
      <c r="AT180" s="1" t="n"/>
    </row>
    <row r="181" ht="14.25" customHeight="1" s="184">
      <c r="A181" s="1" t="n"/>
      <c r="B181" s="1" t="n"/>
      <c r="C181" s="1" t="n"/>
      <c r="D181" s="1" t="n"/>
      <c r="E181" s="1" t="n"/>
      <c r="F181" s="1" t="n"/>
      <c r="G181" s="1" t="n"/>
      <c r="H181" s="7" t="n"/>
      <c r="I181" s="7" t="n"/>
      <c r="J181" s="7" t="n"/>
      <c r="K181" s="1" t="n"/>
      <c r="L181" s="1" t="n"/>
      <c r="M181" s="1" t="n"/>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c r="AK181" s="1" t="n"/>
      <c r="AL181" s="1" t="n"/>
      <c r="AM181" s="1" t="n"/>
      <c r="AN181" s="1" t="n"/>
      <c r="AO181" s="1" t="n"/>
      <c r="AP181" s="1" t="n"/>
      <c r="AQ181" s="1" t="n"/>
      <c r="AR181" s="1" t="n"/>
      <c r="AS181" s="1" t="n"/>
      <c r="AT181" s="1" t="n"/>
    </row>
    <row r="182" ht="14.25" customHeight="1" s="184">
      <c r="A182" s="1" t="n"/>
      <c r="B182" s="1" t="n"/>
      <c r="C182" s="1" t="n"/>
      <c r="D182" s="1" t="n"/>
      <c r="E182" s="1" t="n"/>
      <c r="F182" s="1" t="n"/>
      <c r="G182" s="1" t="n"/>
      <c r="H182" s="7" t="n"/>
      <c r="I182" s="7" t="n"/>
      <c r="J182" s="7" t="n"/>
      <c r="K182" s="1" t="n"/>
      <c r="L182" s="1" t="n"/>
      <c r="M182" s="1" t="n"/>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c r="AK182" s="1" t="n"/>
      <c r="AL182" s="1" t="n"/>
      <c r="AM182" s="1" t="n"/>
      <c r="AN182" s="1" t="n"/>
      <c r="AO182" s="1" t="n"/>
      <c r="AP182" s="1" t="n"/>
      <c r="AQ182" s="1" t="n"/>
      <c r="AR182" s="1" t="n"/>
      <c r="AS182" s="1" t="n"/>
      <c r="AT182" s="1" t="n"/>
    </row>
    <row r="183" ht="14.25" customHeight="1" s="184">
      <c r="A183" s="1" t="n"/>
      <c r="B183" s="1" t="n"/>
      <c r="C183" s="1" t="n"/>
      <c r="D183" s="1" t="n"/>
      <c r="E183" s="1" t="n"/>
      <c r="F183" s="1" t="n"/>
      <c r="G183" s="1" t="n"/>
      <c r="H183" s="7" t="n"/>
      <c r="I183" s="7" t="n"/>
      <c r="J183" s="7" t="n"/>
      <c r="K183" s="1" t="n"/>
      <c r="L183" s="1" t="n"/>
      <c r="M183" s="1" t="n"/>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c r="AK183" s="1" t="n"/>
      <c r="AL183" s="1" t="n"/>
      <c r="AM183" s="1" t="n"/>
      <c r="AN183" s="1" t="n"/>
      <c r="AO183" s="1" t="n"/>
      <c r="AP183" s="1" t="n"/>
      <c r="AQ183" s="1" t="n"/>
      <c r="AR183" s="1" t="n"/>
      <c r="AS183" s="1" t="n"/>
      <c r="AT183" s="1" t="n"/>
    </row>
    <row r="184" ht="14.25" customHeight="1" s="184">
      <c r="A184" s="1" t="n"/>
      <c r="B184" s="1" t="n"/>
      <c r="C184" s="1" t="n"/>
      <c r="D184" s="1" t="n"/>
      <c r="E184" s="1" t="n"/>
      <c r="F184" s="1" t="n"/>
      <c r="G184" s="1" t="n"/>
      <c r="H184" s="7" t="n"/>
      <c r="I184" s="7" t="n"/>
      <c r="J184" s="7" t="n"/>
      <c r="K184" s="1" t="n"/>
      <c r="L184" s="1" t="n"/>
      <c r="M184" s="1" t="n"/>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c r="AK184" s="1" t="n"/>
      <c r="AL184" s="1" t="n"/>
      <c r="AM184" s="1" t="n"/>
      <c r="AN184" s="1" t="n"/>
      <c r="AO184" s="1" t="n"/>
      <c r="AP184" s="1" t="n"/>
      <c r="AQ184" s="1" t="n"/>
      <c r="AR184" s="1" t="n"/>
      <c r="AS184" s="1" t="n"/>
      <c r="AT184" s="1" t="n"/>
    </row>
    <row r="185" ht="14.25" customHeight="1" s="184">
      <c r="A185" s="1" t="n"/>
      <c r="B185" s="1" t="n"/>
      <c r="C185" s="1" t="n"/>
      <c r="D185" s="1" t="n"/>
      <c r="E185" s="1" t="n"/>
      <c r="F185" s="1" t="n"/>
      <c r="G185" s="1" t="n"/>
      <c r="H185" s="7" t="n"/>
      <c r="I185" s="7" t="n"/>
      <c r="J185" s="7" t="n"/>
      <c r="K185" s="1" t="n"/>
      <c r="L185" s="1" t="n"/>
      <c r="M185" s="1" t="n"/>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c r="AK185" s="1" t="n"/>
      <c r="AL185" s="1" t="n"/>
      <c r="AM185" s="1" t="n"/>
      <c r="AN185" s="1" t="n"/>
      <c r="AO185" s="1" t="n"/>
      <c r="AP185" s="1" t="n"/>
      <c r="AQ185" s="1" t="n"/>
      <c r="AR185" s="1" t="n"/>
      <c r="AS185" s="1" t="n"/>
      <c r="AT185" s="1" t="n"/>
    </row>
    <row r="186" ht="14.25" customHeight="1" s="184">
      <c r="A186" s="1" t="n"/>
      <c r="B186" s="1" t="n"/>
      <c r="C186" s="1" t="n"/>
      <c r="D186" s="1" t="n"/>
      <c r="E186" s="1" t="n"/>
      <c r="F186" s="1" t="n"/>
      <c r="G186" s="1" t="n"/>
      <c r="H186" s="7" t="n"/>
      <c r="I186" s="7" t="n"/>
      <c r="J186" s="7" t="n"/>
      <c r="K186" s="1" t="n"/>
      <c r="L186" s="1" t="n"/>
      <c r="M186" s="1"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c r="AK186" s="1" t="n"/>
      <c r="AL186" s="1" t="n"/>
      <c r="AM186" s="1" t="n"/>
      <c r="AN186" s="1" t="n"/>
      <c r="AO186" s="1" t="n"/>
      <c r="AP186" s="1" t="n"/>
      <c r="AQ186" s="1" t="n"/>
      <c r="AR186" s="1" t="n"/>
      <c r="AS186" s="1" t="n"/>
      <c r="AT186" s="1" t="n"/>
    </row>
    <row r="187" ht="14.25" customHeight="1" s="184">
      <c r="A187" s="1" t="n"/>
      <c r="B187" s="1" t="n"/>
      <c r="C187" s="1" t="n"/>
      <c r="D187" s="1" t="n"/>
      <c r="E187" s="1" t="n"/>
      <c r="F187" s="1" t="n"/>
      <c r="G187" s="1" t="n"/>
      <c r="H187" s="7" t="n"/>
      <c r="I187" s="7" t="n"/>
      <c r="J187" s="7" t="n"/>
      <c r="K187" s="1" t="n"/>
      <c r="L187" s="1" t="n"/>
      <c r="M187" s="1" t="n"/>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c r="AK187" s="1" t="n"/>
      <c r="AL187" s="1" t="n"/>
      <c r="AM187" s="1" t="n"/>
      <c r="AN187" s="1" t="n"/>
      <c r="AO187" s="1" t="n"/>
      <c r="AP187" s="1" t="n"/>
      <c r="AQ187" s="1" t="n"/>
      <c r="AR187" s="1" t="n"/>
      <c r="AS187" s="1" t="n"/>
      <c r="AT187" s="1" t="n"/>
    </row>
    <row r="188" ht="14.25" customHeight="1" s="184">
      <c r="A188" s="1" t="n"/>
      <c r="B188" s="1" t="n"/>
      <c r="C188" s="1" t="n"/>
      <c r="D188" s="1" t="n"/>
      <c r="E188" s="1" t="n"/>
      <c r="F188" s="1" t="n"/>
      <c r="G188" s="1" t="n"/>
      <c r="H188" s="7" t="n"/>
      <c r="I188" s="7" t="n"/>
      <c r="J188" s="7" t="n"/>
      <c r="K188" s="1" t="n"/>
      <c r="L188" s="1" t="n"/>
      <c r="M188" s="1" t="n"/>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c r="AK188" s="1" t="n"/>
      <c r="AL188" s="1" t="n"/>
      <c r="AM188" s="1" t="n"/>
      <c r="AN188" s="1" t="n"/>
      <c r="AO188" s="1" t="n"/>
      <c r="AP188" s="1" t="n"/>
      <c r="AQ188" s="1" t="n"/>
      <c r="AR188" s="1" t="n"/>
      <c r="AS188" s="1" t="n"/>
      <c r="AT188" s="1" t="n"/>
    </row>
    <row r="189" ht="14.25" customHeight="1" s="184">
      <c r="A189" s="1" t="n"/>
      <c r="B189" s="1" t="n"/>
      <c r="C189" s="1" t="n"/>
      <c r="D189" s="1" t="n"/>
      <c r="E189" s="1" t="n"/>
      <c r="F189" s="1" t="n"/>
      <c r="G189" s="1" t="n"/>
      <c r="H189" s="7" t="n"/>
      <c r="I189" s="7" t="n"/>
      <c r="J189" s="7" t="n"/>
      <c r="K189" s="1" t="n"/>
      <c r="L189" s="1" t="n"/>
      <c r="M189" s="1" t="n"/>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c r="AK189" s="1" t="n"/>
      <c r="AL189" s="1" t="n"/>
      <c r="AM189" s="1" t="n"/>
      <c r="AN189" s="1" t="n"/>
      <c r="AO189" s="1" t="n"/>
      <c r="AP189" s="1" t="n"/>
      <c r="AQ189" s="1" t="n"/>
      <c r="AR189" s="1" t="n"/>
      <c r="AS189" s="1" t="n"/>
      <c r="AT189" s="1" t="n"/>
    </row>
    <row r="190" ht="14.25" customHeight="1" s="184">
      <c r="A190" s="1" t="n"/>
      <c r="B190" s="1" t="n"/>
      <c r="C190" s="1" t="n"/>
      <c r="D190" s="1" t="n"/>
      <c r="E190" s="1" t="n"/>
      <c r="F190" s="1" t="n"/>
      <c r="G190" s="1" t="n"/>
      <c r="H190" s="7" t="n"/>
      <c r="I190" s="7" t="n"/>
      <c r="J190" s="7" t="n"/>
      <c r="K190" s="1" t="n"/>
      <c r="L190" s="1" t="n"/>
      <c r="M190" s="1" t="n"/>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c r="AK190" s="1" t="n"/>
      <c r="AL190" s="1" t="n"/>
      <c r="AM190" s="1" t="n"/>
      <c r="AN190" s="1" t="n"/>
      <c r="AO190" s="1" t="n"/>
      <c r="AP190" s="1" t="n"/>
      <c r="AQ190" s="1" t="n"/>
      <c r="AR190" s="1" t="n"/>
      <c r="AS190" s="1" t="n"/>
      <c r="AT190" s="1" t="n"/>
    </row>
    <row r="191" ht="14.25" customHeight="1" s="184">
      <c r="A191" s="1" t="n"/>
      <c r="B191" s="1" t="n"/>
      <c r="C191" s="1" t="n"/>
      <c r="D191" s="1" t="n"/>
      <c r="E191" s="1" t="n"/>
      <c r="F191" s="1" t="n"/>
      <c r="G191" s="1" t="n"/>
      <c r="H191" s="7" t="n"/>
      <c r="I191" s="7" t="n"/>
      <c r="J191" s="7" t="n"/>
      <c r="K191" s="1" t="n"/>
      <c r="L191" s="1" t="n"/>
      <c r="M191" s="1" t="n"/>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c r="AK191" s="1" t="n"/>
      <c r="AL191" s="1" t="n"/>
      <c r="AM191" s="1" t="n"/>
      <c r="AN191" s="1" t="n"/>
      <c r="AO191" s="1" t="n"/>
      <c r="AP191" s="1" t="n"/>
      <c r="AQ191" s="1" t="n"/>
      <c r="AR191" s="1" t="n"/>
      <c r="AS191" s="1" t="n"/>
      <c r="AT191" s="1" t="n"/>
    </row>
    <row r="192" ht="14.25" customHeight="1" s="184">
      <c r="A192" s="1" t="n"/>
      <c r="B192" s="1" t="n"/>
      <c r="C192" s="1" t="n"/>
      <c r="D192" s="1" t="n"/>
      <c r="E192" s="1" t="n"/>
      <c r="F192" s="1" t="n"/>
      <c r="G192" s="1" t="n"/>
      <c r="H192" s="7" t="n"/>
      <c r="I192" s="7" t="n"/>
      <c r="J192" s="7" t="n"/>
      <c r="K192" s="1" t="n"/>
      <c r="L192" s="1" t="n"/>
      <c r="M192" s="1" t="n"/>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c r="AK192" s="1" t="n"/>
      <c r="AL192" s="1" t="n"/>
      <c r="AM192" s="1" t="n"/>
      <c r="AN192" s="1" t="n"/>
      <c r="AO192" s="1" t="n"/>
      <c r="AP192" s="1" t="n"/>
      <c r="AQ192" s="1" t="n"/>
      <c r="AR192" s="1" t="n"/>
      <c r="AS192" s="1" t="n"/>
      <c r="AT192" s="1" t="n"/>
    </row>
    <row r="193" ht="14.25" customHeight="1" s="184">
      <c r="A193" s="1" t="n"/>
      <c r="B193" s="1" t="n"/>
      <c r="C193" s="1" t="n"/>
      <c r="D193" s="1" t="n"/>
      <c r="E193" s="1" t="n"/>
      <c r="F193" s="1" t="n"/>
      <c r="G193" s="1" t="n"/>
      <c r="H193" s="7" t="n"/>
      <c r="I193" s="7" t="n"/>
      <c r="J193" s="7" t="n"/>
      <c r="K193" s="1" t="n"/>
      <c r="L193" s="1" t="n"/>
      <c r="M193" s="1" t="n"/>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c r="AK193" s="1" t="n"/>
      <c r="AL193" s="1" t="n"/>
      <c r="AM193" s="1" t="n"/>
      <c r="AN193" s="1" t="n"/>
      <c r="AO193" s="1" t="n"/>
      <c r="AP193" s="1" t="n"/>
      <c r="AQ193" s="1" t="n"/>
      <c r="AR193" s="1" t="n"/>
      <c r="AS193" s="1" t="n"/>
      <c r="AT193" s="1" t="n"/>
    </row>
    <row r="194" ht="14.25" customHeight="1" s="184">
      <c r="A194" s="1" t="n"/>
      <c r="B194" s="1" t="n"/>
      <c r="C194" s="1" t="n"/>
      <c r="D194" s="1" t="n"/>
      <c r="E194" s="1" t="n"/>
      <c r="F194" s="1" t="n"/>
      <c r="G194" s="1" t="n"/>
      <c r="H194" s="7" t="n"/>
      <c r="I194" s="7" t="n"/>
      <c r="J194" s="7" t="n"/>
      <c r="K194" s="1" t="n"/>
      <c r="L194" s="1" t="n"/>
      <c r="M194" s="1" t="n"/>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c r="AK194" s="1" t="n"/>
      <c r="AL194" s="1" t="n"/>
      <c r="AM194" s="1" t="n"/>
      <c r="AN194" s="1" t="n"/>
      <c r="AO194" s="1" t="n"/>
      <c r="AP194" s="1" t="n"/>
      <c r="AQ194" s="1" t="n"/>
      <c r="AR194" s="1" t="n"/>
      <c r="AS194" s="1" t="n"/>
      <c r="AT194" s="1" t="n"/>
    </row>
    <row r="195" ht="14.25" customHeight="1" s="184">
      <c r="A195" s="1" t="n"/>
      <c r="B195" s="1" t="n"/>
      <c r="C195" s="1" t="n"/>
      <c r="D195" s="1" t="n"/>
      <c r="E195" s="1" t="n"/>
      <c r="F195" s="1" t="n"/>
      <c r="G195" s="1" t="n"/>
      <c r="H195" s="7" t="n"/>
      <c r="I195" s="7" t="n"/>
      <c r="J195" s="7" t="n"/>
      <c r="K195" s="1" t="n"/>
      <c r="L195" s="1" t="n"/>
      <c r="M195" s="1" t="n"/>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c r="AK195" s="1" t="n"/>
      <c r="AL195" s="1" t="n"/>
      <c r="AM195" s="1" t="n"/>
      <c r="AN195" s="1" t="n"/>
      <c r="AO195" s="1" t="n"/>
      <c r="AP195" s="1" t="n"/>
      <c r="AQ195" s="1" t="n"/>
      <c r="AR195" s="1" t="n"/>
      <c r="AS195" s="1" t="n"/>
      <c r="AT195" s="1" t="n"/>
    </row>
    <row r="196" ht="14.25" customHeight="1" s="184">
      <c r="A196" s="1" t="n"/>
      <c r="B196" s="1" t="n"/>
      <c r="C196" s="1" t="n"/>
      <c r="D196" s="1" t="n"/>
      <c r="E196" s="1" t="n"/>
      <c r="F196" s="1" t="n"/>
      <c r="G196" s="1" t="n"/>
      <c r="H196" s="7" t="n"/>
      <c r="I196" s="7" t="n"/>
      <c r="J196" s="7" t="n"/>
      <c r="K196" s="1" t="n"/>
      <c r="L196" s="1" t="n"/>
      <c r="M196" s="1" t="n"/>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c r="AK196" s="1" t="n"/>
      <c r="AL196" s="1" t="n"/>
      <c r="AM196" s="1" t="n"/>
      <c r="AN196" s="1" t="n"/>
      <c r="AO196" s="1" t="n"/>
      <c r="AP196" s="1" t="n"/>
      <c r="AQ196" s="1" t="n"/>
      <c r="AR196" s="1" t="n"/>
      <c r="AS196" s="1" t="n"/>
      <c r="AT196" s="1" t="n"/>
    </row>
    <row r="197" ht="14.25" customHeight="1" s="184">
      <c r="A197" s="1" t="n"/>
      <c r="B197" s="1" t="n"/>
      <c r="C197" s="1" t="n"/>
      <c r="D197" s="1" t="n"/>
      <c r="E197" s="1" t="n"/>
      <c r="F197" s="1" t="n"/>
      <c r="G197" s="1" t="n"/>
      <c r="H197" s="7" t="n"/>
      <c r="I197" s="7" t="n"/>
      <c r="J197" s="7" t="n"/>
      <c r="K197" s="1" t="n"/>
      <c r="L197" s="1" t="n"/>
      <c r="M197" s="1" t="n"/>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c r="AK197" s="1" t="n"/>
      <c r="AL197" s="1" t="n"/>
      <c r="AM197" s="1" t="n"/>
      <c r="AN197" s="1" t="n"/>
      <c r="AO197" s="1" t="n"/>
      <c r="AP197" s="1" t="n"/>
      <c r="AQ197" s="1" t="n"/>
      <c r="AR197" s="1" t="n"/>
      <c r="AS197" s="1" t="n"/>
      <c r="AT197" s="1" t="n"/>
    </row>
    <row r="198" ht="14.25" customHeight="1" s="184">
      <c r="A198" s="1" t="n"/>
      <c r="B198" s="1" t="n"/>
      <c r="C198" s="1" t="n"/>
      <c r="D198" s="1" t="n"/>
      <c r="E198" s="1" t="n"/>
      <c r="F198" s="1" t="n"/>
      <c r="G198" s="1" t="n"/>
      <c r="H198" s="7" t="n"/>
      <c r="I198" s="7" t="n"/>
      <c r="J198" s="7" t="n"/>
      <c r="K198" s="1" t="n"/>
      <c r="L198" s="1" t="n"/>
      <c r="M198" s="1" t="n"/>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c r="AK198" s="1" t="n"/>
      <c r="AL198" s="1" t="n"/>
      <c r="AM198" s="1" t="n"/>
      <c r="AN198" s="1" t="n"/>
      <c r="AO198" s="1" t="n"/>
      <c r="AP198" s="1" t="n"/>
      <c r="AQ198" s="1" t="n"/>
      <c r="AR198" s="1" t="n"/>
      <c r="AS198" s="1" t="n"/>
      <c r="AT198" s="1" t="n"/>
    </row>
    <row r="199" ht="14.25" customHeight="1" s="184">
      <c r="A199" s="1" t="n"/>
      <c r="B199" s="1" t="n"/>
      <c r="C199" s="1" t="n"/>
      <c r="D199" s="1" t="n"/>
      <c r="E199" s="1" t="n"/>
      <c r="F199" s="1" t="n"/>
      <c r="G199" s="1" t="n"/>
      <c r="H199" s="7" t="n"/>
      <c r="I199" s="7" t="n"/>
      <c r="J199" s="7" t="n"/>
      <c r="K199" s="1" t="n"/>
      <c r="L199" s="1" t="n"/>
      <c r="M199" s="1" t="n"/>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c r="AK199" s="1" t="n"/>
      <c r="AL199" s="1" t="n"/>
      <c r="AM199" s="1" t="n"/>
      <c r="AN199" s="1" t="n"/>
      <c r="AO199" s="1" t="n"/>
      <c r="AP199" s="1" t="n"/>
      <c r="AQ199" s="1" t="n"/>
      <c r="AR199" s="1" t="n"/>
      <c r="AS199" s="1" t="n"/>
      <c r="AT199" s="1" t="n"/>
    </row>
    <row r="200" ht="14.25" customHeight="1" s="184">
      <c r="A200" s="1" t="n"/>
      <c r="B200" s="1" t="n"/>
      <c r="C200" s="1" t="n"/>
      <c r="D200" s="1" t="n"/>
      <c r="E200" s="1" t="n"/>
      <c r="F200" s="1" t="n"/>
      <c r="G200" s="1" t="n"/>
      <c r="H200" s="7" t="n"/>
      <c r="I200" s="7" t="n"/>
      <c r="J200" s="7" t="n"/>
      <c r="K200" s="1" t="n"/>
      <c r="L200" s="1" t="n"/>
      <c r="M200" s="1" t="n"/>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c r="AK200" s="1" t="n"/>
      <c r="AL200" s="1" t="n"/>
      <c r="AM200" s="1" t="n"/>
      <c r="AN200" s="1" t="n"/>
      <c r="AO200" s="1" t="n"/>
      <c r="AP200" s="1" t="n"/>
      <c r="AQ200" s="1" t="n"/>
      <c r="AR200" s="1" t="n"/>
      <c r="AS200" s="1" t="n"/>
      <c r="AT200" s="1" t="n"/>
    </row>
    <row r="201" ht="14.25" customHeight="1" s="184">
      <c r="A201" s="1" t="n"/>
      <c r="B201" s="1" t="n"/>
      <c r="C201" s="1" t="n"/>
      <c r="D201" s="1" t="n"/>
      <c r="E201" s="1" t="n"/>
      <c r="F201" s="1" t="n"/>
      <c r="G201" s="1" t="n"/>
      <c r="H201" s="7" t="n"/>
      <c r="I201" s="7" t="n"/>
      <c r="J201" s="7" t="n"/>
      <c r="K201" s="1" t="n"/>
      <c r="L201" s="1" t="n"/>
      <c r="M201" s="1" t="n"/>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c r="AK201" s="1" t="n"/>
      <c r="AL201" s="1" t="n"/>
      <c r="AM201" s="1" t="n"/>
      <c r="AN201" s="1" t="n"/>
      <c r="AO201" s="1" t="n"/>
      <c r="AP201" s="1" t="n"/>
      <c r="AQ201" s="1" t="n"/>
      <c r="AR201" s="1" t="n"/>
      <c r="AS201" s="1" t="n"/>
      <c r="AT201" s="1" t="n"/>
    </row>
    <row r="202" ht="14.25" customHeight="1" s="184">
      <c r="A202" s="1" t="n"/>
      <c r="B202" s="1" t="n"/>
      <c r="C202" s="1" t="n"/>
      <c r="D202" s="1" t="n"/>
      <c r="E202" s="1" t="n"/>
      <c r="F202" s="1" t="n"/>
      <c r="G202" s="1" t="n"/>
      <c r="H202" s="7" t="n"/>
      <c r="I202" s="7" t="n"/>
      <c r="J202" s="7" t="n"/>
      <c r="K202" s="1" t="n"/>
      <c r="L202" s="1" t="n"/>
      <c r="M202" s="1" t="n"/>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c r="AK202" s="1" t="n"/>
      <c r="AL202" s="1" t="n"/>
      <c r="AM202" s="1" t="n"/>
      <c r="AN202" s="1" t="n"/>
      <c r="AO202" s="1" t="n"/>
      <c r="AP202" s="1" t="n"/>
      <c r="AQ202" s="1" t="n"/>
      <c r="AR202" s="1" t="n"/>
      <c r="AS202" s="1" t="n"/>
      <c r="AT202" s="1" t="n"/>
    </row>
    <row r="203" ht="14.25" customHeight="1" s="184">
      <c r="A203" s="1" t="n"/>
      <c r="B203" s="1" t="n"/>
      <c r="C203" s="1" t="n"/>
      <c r="D203" s="1" t="n"/>
      <c r="E203" s="1" t="n"/>
      <c r="F203" s="1" t="n"/>
      <c r="G203" s="1" t="n"/>
      <c r="H203" s="7" t="n"/>
      <c r="I203" s="7" t="n"/>
      <c r="J203" s="7" t="n"/>
      <c r="K203" s="1" t="n"/>
      <c r="L203" s="1" t="n"/>
      <c r="M203" s="1" t="n"/>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c r="AK203" s="1" t="n"/>
      <c r="AL203" s="1" t="n"/>
      <c r="AM203" s="1" t="n"/>
      <c r="AN203" s="1" t="n"/>
      <c r="AO203" s="1" t="n"/>
      <c r="AP203" s="1" t="n"/>
      <c r="AQ203" s="1" t="n"/>
      <c r="AR203" s="1" t="n"/>
      <c r="AS203" s="1" t="n"/>
      <c r="AT203" s="1" t="n"/>
    </row>
    <row r="204" ht="14.25" customHeight="1" s="184">
      <c r="A204" s="1" t="n"/>
      <c r="B204" s="1" t="n"/>
      <c r="C204" s="1" t="n"/>
      <c r="D204" s="1" t="n"/>
      <c r="E204" s="1" t="n"/>
      <c r="F204" s="1" t="n"/>
      <c r="G204" s="1" t="n"/>
      <c r="H204" s="7" t="n"/>
      <c r="I204" s="7" t="n"/>
      <c r="J204" s="7" t="n"/>
      <c r="K204" s="1" t="n"/>
      <c r="L204" s="1" t="n"/>
      <c r="M204" s="1" t="n"/>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c r="AK204" s="1" t="n"/>
      <c r="AL204" s="1" t="n"/>
      <c r="AM204" s="1" t="n"/>
      <c r="AN204" s="1" t="n"/>
      <c r="AO204" s="1" t="n"/>
      <c r="AP204" s="1" t="n"/>
      <c r="AQ204" s="1" t="n"/>
      <c r="AR204" s="1" t="n"/>
      <c r="AS204" s="1" t="n"/>
      <c r="AT204" s="1" t="n"/>
    </row>
    <row r="205" ht="14.25" customHeight="1" s="184">
      <c r="A205" s="1" t="n"/>
      <c r="B205" s="1" t="n"/>
      <c r="C205" s="1" t="n"/>
      <c r="D205" s="1" t="n"/>
      <c r="E205" s="1" t="n"/>
      <c r="F205" s="1" t="n"/>
      <c r="G205" s="1" t="n"/>
      <c r="H205" s="7" t="n"/>
      <c r="I205" s="7" t="n"/>
      <c r="J205" s="7" t="n"/>
      <c r="K205" s="1" t="n"/>
      <c r="L205" s="1" t="n"/>
      <c r="M205" s="1" t="n"/>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c r="AK205" s="1" t="n"/>
      <c r="AL205" s="1" t="n"/>
      <c r="AM205" s="1" t="n"/>
      <c r="AN205" s="1" t="n"/>
      <c r="AO205" s="1" t="n"/>
      <c r="AP205" s="1" t="n"/>
      <c r="AQ205" s="1" t="n"/>
      <c r="AR205" s="1" t="n"/>
      <c r="AS205" s="1" t="n"/>
      <c r="AT205" s="1" t="n"/>
    </row>
    <row r="206" ht="14.25" customHeight="1" s="184">
      <c r="A206" s="1" t="n"/>
      <c r="B206" s="1" t="n"/>
      <c r="C206" s="1" t="n"/>
      <c r="D206" s="1" t="n"/>
      <c r="E206" s="1" t="n"/>
      <c r="F206" s="1" t="n"/>
      <c r="G206" s="1" t="n"/>
      <c r="H206" s="7" t="n"/>
      <c r="I206" s="7" t="n"/>
      <c r="J206" s="7" t="n"/>
      <c r="K206" s="1" t="n"/>
      <c r="L206" s="1" t="n"/>
      <c r="M206" s="1" t="n"/>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c r="AK206" s="1" t="n"/>
      <c r="AL206" s="1" t="n"/>
      <c r="AM206" s="1" t="n"/>
      <c r="AN206" s="1" t="n"/>
      <c r="AO206" s="1" t="n"/>
      <c r="AP206" s="1" t="n"/>
      <c r="AQ206" s="1" t="n"/>
      <c r="AR206" s="1" t="n"/>
      <c r="AS206" s="1" t="n"/>
      <c r="AT206" s="1" t="n"/>
    </row>
    <row r="207" ht="14.25" customHeight="1" s="184">
      <c r="A207" s="1" t="n"/>
      <c r="B207" s="1" t="n"/>
      <c r="C207" s="1" t="n"/>
      <c r="D207" s="1" t="n"/>
      <c r="E207" s="1" t="n"/>
      <c r="F207" s="1" t="n"/>
      <c r="G207" s="1" t="n"/>
      <c r="H207" s="7" t="n"/>
      <c r="I207" s="7" t="n"/>
      <c r="J207" s="7" t="n"/>
      <c r="K207" s="1" t="n"/>
      <c r="L207" s="1" t="n"/>
      <c r="M207" s="1" t="n"/>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c r="AK207" s="1" t="n"/>
      <c r="AL207" s="1" t="n"/>
      <c r="AM207" s="1" t="n"/>
      <c r="AN207" s="1" t="n"/>
      <c r="AO207" s="1" t="n"/>
      <c r="AP207" s="1" t="n"/>
      <c r="AQ207" s="1" t="n"/>
      <c r="AR207" s="1" t="n"/>
      <c r="AS207" s="1" t="n"/>
      <c r="AT207" s="1" t="n"/>
    </row>
    <row r="208" ht="14.25" customHeight="1" s="184">
      <c r="A208" s="1" t="n"/>
      <c r="B208" s="1" t="n"/>
      <c r="C208" s="1" t="n"/>
      <c r="D208" s="1" t="n"/>
      <c r="E208" s="1" t="n"/>
      <c r="F208" s="1" t="n"/>
      <c r="G208" s="1" t="n"/>
      <c r="H208" s="7" t="n"/>
      <c r="I208" s="7" t="n"/>
      <c r="J208" s="7" t="n"/>
      <c r="K208" s="1" t="n"/>
      <c r="L208" s="1" t="n"/>
      <c r="M208" s="1" t="n"/>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c r="AK208" s="1" t="n"/>
      <c r="AL208" s="1" t="n"/>
      <c r="AM208" s="1" t="n"/>
      <c r="AN208" s="1" t="n"/>
      <c r="AO208" s="1" t="n"/>
      <c r="AP208" s="1" t="n"/>
      <c r="AQ208" s="1" t="n"/>
      <c r="AR208" s="1" t="n"/>
      <c r="AS208" s="1" t="n"/>
      <c r="AT208" s="1" t="n"/>
    </row>
    <row r="209" ht="14.25" customHeight="1" s="184">
      <c r="A209" s="1" t="n"/>
      <c r="B209" s="1" t="n"/>
      <c r="C209" s="1" t="n"/>
      <c r="D209" s="1" t="n"/>
      <c r="E209" s="1" t="n"/>
      <c r="F209" s="1" t="n"/>
      <c r="G209" s="1" t="n"/>
      <c r="H209" s="7" t="n"/>
      <c r="I209" s="7" t="n"/>
      <c r="J209" s="7" t="n"/>
      <c r="K209" s="1" t="n"/>
      <c r="L209" s="1" t="n"/>
      <c r="M209" s="1" t="n"/>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c r="AK209" s="1" t="n"/>
      <c r="AL209" s="1" t="n"/>
      <c r="AM209" s="1" t="n"/>
      <c r="AN209" s="1" t="n"/>
      <c r="AO209" s="1" t="n"/>
      <c r="AP209" s="1" t="n"/>
      <c r="AQ209" s="1" t="n"/>
      <c r="AR209" s="1" t="n"/>
      <c r="AS209" s="1" t="n"/>
      <c r="AT209" s="1" t="n"/>
    </row>
    <row r="210" ht="14.25" customHeight="1" s="184">
      <c r="A210" s="1" t="n"/>
      <c r="B210" s="1" t="n"/>
      <c r="C210" s="1" t="n"/>
      <c r="D210" s="1" t="n"/>
      <c r="E210" s="1" t="n"/>
      <c r="F210" s="1" t="n"/>
      <c r="G210" s="1" t="n"/>
      <c r="H210" s="7" t="n"/>
      <c r="I210" s="7" t="n"/>
      <c r="J210" s="7" t="n"/>
      <c r="K210" s="1" t="n"/>
      <c r="L210" s="1" t="n"/>
      <c r="M210" s="1" t="n"/>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c r="AK210" s="1" t="n"/>
      <c r="AL210" s="1" t="n"/>
      <c r="AM210" s="1" t="n"/>
      <c r="AN210" s="1" t="n"/>
      <c r="AO210" s="1" t="n"/>
      <c r="AP210" s="1" t="n"/>
      <c r="AQ210" s="1" t="n"/>
      <c r="AR210" s="1" t="n"/>
      <c r="AS210" s="1" t="n"/>
      <c r="AT210" s="1" t="n"/>
    </row>
    <row r="211" ht="14.25" customHeight="1" s="184">
      <c r="A211" s="1" t="n"/>
      <c r="B211" s="1" t="n"/>
      <c r="C211" s="1" t="n"/>
      <c r="D211" s="1" t="n"/>
      <c r="E211" s="1" t="n"/>
      <c r="F211" s="1" t="n"/>
      <c r="G211" s="1" t="n"/>
      <c r="H211" s="7" t="n"/>
      <c r="I211" s="7" t="n"/>
      <c r="J211" s="7" t="n"/>
      <c r="K211" s="1" t="n"/>
      <c r="L211" s="1" t="n"/>
      <c r="M211" s="1" t="n"/>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c r="AK211" s="1" t="n"/>
      <c r="AL211" s="1" t="n"/>
      <c r="AM211" s="1" t="n"/>
      <c r="AN211" s="1" t="n"/>
      <c r="AO211" s="1" t="n"/>
      <c r="AP211" s="1" t="n"/>
      <c r="AQ211" s="1" t="n"/>
      <c r="AR211" s="1" t="n"/>
      <c r="AS211" s="1" t="n"/>
      <c r="AT211" s="1" t="n"/>
    </row>
    <row r="212" ht="14.25" customHeight="1" s="184">
      <c r="A212" s="1" t="n"/>
      <c r="B212" s="1" t="n"/>
      <c r="C212" s="1" t="n"/>
      <c r="D212" s="1" t="n"/>
      <c r="E212" s="1" t="n"/>
      <c r="F212" s="1" t="n"/>
      <c r="G212" s="1" t="n"/>
      <c r="H212" s="7" t="n"/>
      <c r="I212" s="7" t="n"/>
      <c r="J212" s="7" t="n"/>
      <c r="K212" s="1" t="n"/>
      <c r="L212" s="1" t="n"/>
      <c r="M212" s="1" t="n"/>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c r="AK212" s="1" t="n"/>
      <c r="AL212" s="1" t="n"/>
      <c r="AM212" s="1" t="n"/>
      <c r="AN212" s="1" t="n"/>
      <c r="AO212" s="1" t="n"/>
      <c r="AP212" s="1" t="n"/>
      <c r="AQ212" s="1" t="n"/>
      <c r="AR212" s="1" t="n"/>
      <c r="AS212" s="1" t="n"/>
      <c r="AT212" s="1" t="n"/>
    </row>
    <row r="213" ht="14.25" customHeight="1" s="184">
      <c r="A213" s="1" t="n"/>
      <c r="B213" s="1" t="n"/>
      <c r="C213" s="1" t="n"/>
      <c r="D213" s="1" t="n"/>
      <c r="E213" s="1" t="n"/>
      <c r="F213" s="1" t="n"/>
      <c r="G213" s="1" t="n"/>
      <c r="H213" s="7" t="n"/>
      <c r="I213" s="7" t="n"/>
      <c r="J213" s="7" t="n"/>
      <c r="K213" s="1" t="n"/>
      <c r="L213" s="1" t="n"/>
      <c r="M213" s="1" t="n"/>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c r="AK213" s="1" t="n"/>
      <c r="AL213" s="1" t="n"/>
      <c r="AM213" s="1" t="n"/>
      <c r="AN213" s="1" t="n"/>
      <c r="AO213" s="1" t="n"/>
      <c r="AP213" s="1" t="n"/>
      <c r="AQ213" s="1" t="n"/>
      <c r="AR213" s="1" t="n"/>
      <c r="AS213" s="1" t="n"/>
      <c r="AT213" s="1" t="n"/>
    </row>
    <row r="214" ht="14.25" customHeight="1" s="184">
      <c r="A214" s="1" t="n"/>
      <c r="B214" s="1" t="n"/>
      <c r="C214" s="1" t="n"/>
      <c r="D214" s="1" t="n"/>
      <c r="E214" s="1" t="n"/>
      <c r="F214" s="1" t="n"/>
      <c r="G214" s="1" t="n"/>
      <c r="H214" s="7" t="n"/>
      <c r="I214" s="7" t="n"/>
      <c r="J214" s="7" t="n"/>
      <c r="K214" s="1" t="n"/>
      <c r="L214" s="1" t="n"/>
      <c r="M214" s="1" t="n"/>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c r="AK214" s="1" t="n"/>
      <c r="AL214" s="1" t="n"/>
      <c r="AM214" s="1" t="n"/>
      <c r="AN214" s="1" t="n"/>
      <c r="AO214" s="1" t="n"/>
      <c r="AP214" s="1" t="n"/>
      <c r="AQ214" s="1" t="n"/>
      <c r="AR214" s="1" t="n"/>
      <c r="AS214" s="1" t="n"/>
      <c r="AT214" s="1" t="n"/>
    </row>
    <row r="215" ht="14.25" customHeight="1" s="184">
      <c r="A215" s="1" t="n"/>
      <c r="B215" s="1" t="n"/>
      <c r="C215" s="1" t="n"/>
      <c r="D215" s="1" t="n"/>
      <c r="E215" s="1" t="n"/>
      <c r="F215" s="1" t="n"/>
      <c r="G215" s="1" t="n"/>
      <c r="H215" s="7" t="n"/>
      <c r="I215" s="7" t="n"/>
      <c r="J215" s="7" t="n"/>
      <c r="K215" s="1" t="n"/>
      <c r="L215" s="1" t="n"/>
      <c r="M215" s="1" t="n"/>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c r="AK215" s="1" t="n"/>
      <c r="AL215" s="1" t="n"/>
      <c r="AM215" s="1" t="n"/>
      <c r="AN215" s="1" t="n"/>
      <c r="AO215" s="1" t="n"/>
      <c r="AP215" s="1" t="n"/>
      <c r="AQ215" s="1" t="n"/>
      <c r="AR215" s="1" t="n"/>
      <c r="AS215" s="1" t="n"/>
      <c r="AT215" s="1" t="n"/>
    </row>
    <row r="216" ht="14.25" customHeight="1" s="184">
      <c r="A216" s="1" t="n"/>
      <c r="B216" s="1" t="n"/>
      <c r="C216" s="1" t="n"/>
      <c r="D216" s="1" t="n"/>
      <c r="E216" s="1" t="n"/>
      <c r="F216" s="1" t="n"/>
      <c r="G216" s="1" t="n"/>
      <c r="H216" s="7" t="n"/>
      <c r="I216" s="7" t="n"/>
      <c r="J216" s="7" t="n"/>
      <c r="K216" s="1" t="n"/>
      <c r="L216" s="1" t="n"/>
      <c r="M216" s="1" t="n"/>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c r="AK216" s="1" t="n"/>
      <c r="AL216" s="1" t="n"/>
      <c r="AM216" s="1" t="n"/>
      <c r="AN216" s="1" t="n"/>
      <c r="AO216" s="1" t="n"/>
      <c r="AP216" s="1" t="n"/>
      <c r="AQ216" s="1" t="n"/>
      <c r="AR216" s="1" t="n"/>
      <c r="AS216" s="1" t="n"/>
      <c r="AT216" s="1" t="n"/>
    </row>
    <row r="217" ht="14.25" customHeight="1" s="184">
      <c r="A217" s="1" t="n"/>
      <c r="B217" s="1" t="n"/>
      <c r="C217" s="1" t="n"/>
      <c r="D217" s="1" t="n"/>
      <c r="E217" s="1" t="n"/>
      <c r="F217" s="1" t="n"/>
      <c r="G217" s="1" t="n"/>
      <c r="H217" s="7" t="n"/>
      <c r="I217" s="7" t="n"/>
      <c r="J217" s="7" t="n"/>
      <c r="K217" s="1" t="n"/>
      <c r="L217" s="1" t="n"/>
      <c r="M217" s="1" t="n"/>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c r="AK217" s="1" t="n"/>
      <c r="AL217" s="1" t="n"/>
      <c r="AM217" s="1" t="n"/>
      <c r="AN217" s="1" t="n"/>
      <c r="AO217" s="1" t="n"/>
      <c r="AP217" s="1" t="n"/>
      <c r="AQ217" s="1" t="n"/>
      <c r="AR217" s="1" t="n"/>
      <c r="AS217" s="1" t="n"/>
      <c r="AT217" s="1" t="n"/>
    </row>
    <row r="218" ht="14.25" customHeight="1" s="184">
      <c r="A218" s="1" t="n"/>
      <c r="B218" s="1" t="n"/>
      <c r="C218" s="1" t="n"/>
      <c r="D218" s="1" t="n"/>
      <c r="E218" s="1" t="n"/>
      <c r="F218" s="1" t="n"/>
      <c r="G218" s="1" t="n"/>
      <c r="H218" s="7" t="n"/>
      <c r="I218" s="7" t="n"/>
      <c r="J218" s="7" t="n"/>
      <c r="K218" s="1" t="n"/>
      <c r="L218" s="1" t="n"/>
      <c r="M218" s="1" t="n"/>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c r="AK218" s="1" t="n"/>
      <c r="AL218" s="1" t="n"/>
      <c r="AM218" s="1" t="n"/>
      <c r="AN218" s="1" t="n"/>
      <c r="AO218" s="1" t="n"/>
      <c r="AP218" s="1" t="n"/>
      <c r="AQ218" s="1" t="n"/>
      <c r="AR218" s="1" t="n"/>
      <c r="AS218" s="1" t="n"/>
      <c r="AT218" s="1" t="n"/>
    </row>
    <row r="219" ht="14.25" customHeight="1" s="184">
      <c r="A219" s="1" t="n"/>
      <c r="B219" s="1" t="n"/>
      <c r="C219" s="1" t="n"/>
      <c r="D219" s="1" t="n"/>
      <c r="E219" s="1" t="n"/>
      <c r="F219" s="1" t="n"/>
      <c r="G219" s="1" t="n"/>
      <c r="H219" s="7" t="n"/>
      <c r="I219" s="7" t="n"/>
      <c r="J219" s="7" t="n"/>
      <c r="K219" s="1" t="n"/>
      <c r="L219" s="1" t="n"/>
      <c r="M219" s="1" t="n"/>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c r="AK219" s="1" t="n"/>
      <c r="AL219" s="1" t="n"/>
      <c r="AM219" s="1" t="n"/>
      <c r="AN219" s="1" t="n"/>
      <c r="AO219" s="1" t="n"/>
      <c r="AP219" s="1" t="n"/>
      <c r="AQ219" s="1" t="n"/>
      <c r="AR219" s="1" t="n"/>
      <c r="AS219" s="1" t="n"/>
      <c r="AT219" s="1" t="n"/>
    </row>
    <row r="220" ht="14.25" customHeight="1" s="184">
      <c r="A220" s="1" t="n"/>
      <c r="B220" s="1" t="n"/>
      <c r="C220" s="1" t="n"/>
      <c r="D220" s="1" t="n"/>
      <c r="E220" s="1" t="n"/>
      <c r="F220" s="1" t="n"/>
      <c r="G220" s="1" t="n"/>
      <c r="H220" s="7" t="n"/>
      <c r="I220" s="7" t="n"/>
      <c r="J220" s="7" t="n"/>
      <c r="K220" s="1" t="n"/>
      <c r="L220" s="1" t="n"/>
      <c r="M220" s="1" t="n"/>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c r="AK220" s="1" t="n"/>
      <c r="AL220" s="1" t="n"/>
      <c r="AM220" s="1" t="n"/>
      <c r="AN220" s="1" t="n"/>
      <c r="AO220" s="1" t="n"/>
      <c r="AP220" s="1" t="n"/>
      <c r="AQ220" s="1" t="n"/>
      <c r="AR220" s="1" t="n"/>
      <c r="AS220" s="1" t="n"/>
      <c r="AT220" s="1" t="n"/>
    </row>
    <row r="221" ht="14.25" customHeight="1" s="184">
      <c r="A221" s="1" t="n"/>
      <c r="B221" s="1" t="n"/>
      <c r="C221" s="1" t="n"/>
      <c r="D221" s="1" t="n"/>
      <c r="E221" s="1" t="n"/>
      <c r="F221" s="1" t="n"/>
      <c r="G221" s="1" t="n"/>
      <c r="H221" s="7" t="n"/>
      <c r="I221" s="7" t="n"/>
      <c r="J221" s="7" t="n"/>
      <c r="K221" s="1" t="n"/>
      <c r="L221" s="1" t="n"/>
      <c r="M221" s="1" t="n"/>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c r="AK221" s="1" t="n"/>
      <c r="AL221" s="1" t="n"/>
      <c r="AM221" s="1" t="n"/>
      <c r="AN221" s="1" t="n"/>
      <c r="AO221" s="1" t="n"/>
      <c r="AP221" s="1" t="n"/>
      <c r="AQ221" s="1" t="n"/>
      <c r="AR221" s="1" t="n"/>
      <c r="AS221" s="1" t="n"/>
      <c r="AT221" s="1" t="n"/>
    </row>
    <row r="222" ht="14.25" customHeight="1" s="184">
      <c r="A222" s="1" t="n"/>
      <c r="B222" s="1" t="n"/>
      <c r="C222" s="1" t="n"/>
      <c r="D222" s="1" t="n"/>
      <c r="E222" s="1" t="n"/>
      <c r="F222" s="1" t="n"/>
      <c r="G222" s="1" t="n"/>
      <c r="H222" s="7" t="n"/>
      <c r="I222" s="7" t="n"/>
      <c r="J222" s="7" t="n"/>
      <c r="K222" s="1" t="n"/>
      <c r="L222" s="1" t="n"/>
      <c r="M222" s="1" t="n"/>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c r="AK222" s="1" t="n"/>
      <c r="AL222" s="1" t="n"/>
      <c r="AM222" s="1" t="n"/>
      <c r="AN222" s="1" t="n"/>
      <c r="AO222" s="1" t="n"/>
      <c r="AP222" s="1" t="n"/>
      <c r="AQ222" s="1" t="n"/>
      <c r="AR222" s="1" t="n"/>
      <c r="AS222" s="1" t="n"/>
      <c r="AT222" s="1" t="n"/>
    </row>
    <row r="223" ht="14.25" customHeight="1" s="184">
      <c r="A223" s="1" t="n"/>
      <c r="B223" s="1" t="n"/>
      <c r="C223" s="1" t="n"/>
      <c r="D223" s="1" t="n"/>
      <c r="E223" s="1" t="n"/>
      <c r="F223" s="1" t="n"/>
      <c r="G223" s="1" t="n"/>
      <c r="H223" s="7" t="n"/>
      <c r="I223" s="7" t="n"/>
      <c r="J223" s="7" t="n"/>
      <c r="K223" s="1" t="n"/>
      <c r="L223" s="1" t="n"/>
      <c r="M223" s="1" t="n"/>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c r="AK223" s="1" t="n"/>
      <c r="AL223" s="1" t="n"/>
      <c r="AM223" s="1" t="n"/>
      <c r="AN223" s="1" t="n"/>
      <c r="AO223" s="1" t="n"/>
      <c r="AP223" s="1" t="n"/>
      <c r="AQ223" s="1" t="n"/>
      <c r="AR223" s="1" t="n"/>
      <c r="AS223" s="1" t="n"/>
      <c r="AT223" s="1" t="n"/>
    </row>
    <row r="224" ht="14.25" customHeight="1" s="184">
      <c r="A224" s="1" t="n"/>
      <c r="B224" s="1" t="n"/>
      <c r="C224" s="1" t="n"/>
      <c r="D224" s="1" t="n"/>
      <c r="E224" s="1" t="n"/>
      <c r="F224" s="1" t="n"/>
      <c r="G224" s="1" t="n"/>
      <c r="H224" s="7" t="n"/>
      <c r="I224" s="7" t="n"/>
      <c r="J224" s="7" t="n"/>
      <c r="K224" s="1" t="n"/>
      <c r="L224" s="1" t="n"/>
      <c r="M224" s="1" t="n"/>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c r="AK224" s="1" t="n"/>
      <c r="AL224" s="1" t="n"/>
      <c r="AM224" s="1" t="n"/>
      <c r="AN224" s="1" t="n"/>
      <c r="AO224" s="1" t="n"/>
      <c r="AP224" s="1" t="n"/>
      <c r="AQ224" s="1" t="n"/>
      <c r="AR224" s="1" t="n"/>
      <c r="AS224" s="1" t="n"/>
      <c r="AT224" s="1" t="n"/>
    </row>
    <row r="225" ht="14.25" customHeight="1" s="184">
      <c r="A225" s="1" t="n"/>
      <c r="B225" s="1" t="n"/>
      <c r="C225" s="1" t="n"/>
      <c r="D225" s="1" t="n"/>
      <c r="E225" s="1" t="n"/>
      <c r="F225" s="1" t="n"/>
      <c r="G225" s="1" t="n"/>
      <c r="H225" s="7" t="n"/>
      <c r="I225" s="7" t="n"/>
      <c r="J225" s="7" t="n"/>
      <c r="K225" s="1" t="n"/>
      <c r="L225" s="1" t="n"/>
      <c r="M225" s="1" t="n"/>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c r="AK225" s="1" t="n"/>
      <c r="AL225" s="1" t="n"/>
      <c r="AM225" s="1" t="n"/>
      <c r="AN225" s="1" t="n"/>
      <c r="AO225" s="1" t="n"/>
      <c r="AP225" s="1" t="n"/>
      <c r="AQ225" s="1" t="n"/>
      <c r="AR225" s="1" t="n"/>
      <c r="AS225" s="1" t="n"/>
      <c r="AT225" s="1" t="n"/>
    </row>
    <row r="226" ht="14.25" customHeight="1" s="184">
      <c r="A226" s="1" t="n"/>
      <c r="B226" s="1" t="n"/>
      <c r="C226" s="1" t="n"/>
      <c r="D226" s="1" t="n"/>
      <c r="E226" s="1" t="n"/>
      <c r="F226" s="1" t="n"/>
      <c r="G226" s="1" t="n"/>
      <c r="H226" s="7" t="n"/>
      <c r="I226" s="7" t="n"/>
      <c r="J226" s="7" t="n"/>
      <c r="K226" s="1" t="n"/>
      <c r="L226" s="1" t="n"/>
      <c r="M226" s="1" t="n"/>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c r="AK226" s="1" t="n"/>
      <c r="AL226" s="1" t="n"/>
      <c r="AM226" s="1" t="n"/>
      <c r="AN226" s="1" t="n"/>
      <c r="AO226" s="1" t="n"/>
      <c r="AP226" s="1" t="n"/>
      <c r="AQ226" s="1" t="n"/>
      <c r="AR226" s="1" t="n"/>
      <c r="AS226" s="1" t="n"/>
      <c r="AT226" s="1" t="n"/>
    </row>
    <row r="227" ht="14.25" customHeight="1" s="184">
      <c r="A227" s="1" t="n"/>
      <c r="B227" s="1" t="n"/>
      <c r="C227" s="1" t="n"/>
      <c r="D227" s="1" t="n"/>
      <c r="E227" s="1" t="n"/>
      <c r="F227" s="1" t="n"/>
      <c r="G227" s="1" t="n"/>
      <c r="H227" s="7" t="n"/>
      <c r="I227" s="7" t="n"/>
      <c r="J227" s="7" t="n"/>
      <c r="K227" s="1" t="n"/>
      <c r="L227" s="1" t="n"/>
      <c r="M227" s="1" t="n"/>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c r="AK227" s="1" t="n"/>
      <c r="AL227" s="1" t="n"/>
      <c r="AM227" s="1" t="n"/>
      <c r="AN227" s="1" t="n"/>
      <c r="AO227" s="1" t="n"/>
      <c r="AP227" s="1" t="n"/>
      <c r="AQ227" s="1" t="n"/>
      <c r="AR227" s="1" t="n"/>
      <c r="AS227" s="1" t="n"/>
      <c r="AT227" s="1" t="n"/>
    </row>
    <row r="228" ht="14.25" customHeight="1" s="184">
      <c r="A228" s="1" t="n"/>
      <c r="B228" s="1" t="n"/>
      <c r="C228" s="1" t="n"/>
      <c r="D228" s="1" t="n"/>
      <c r="E228" s="1" t="n"/>
      <c r="F228" s="1" t="n"/>
      <c r="G228" s="1" t="n"/>
      <c r="H228" s="7" t="n"/>
      <c r="I228" s="7" t="n"/>
      <c r="J228" s="7" t="n"/>
      <c r="K228" s="1" t="n"/>
      <c r="L228" s="1" t="n"/>
      <c r="M228" s="1" t="n"/>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c r="AK228" s="1" t="n"/>
      <c r="AL228" s="1" t="n"/>
      <c r="AM228" s="1" t="n"/>
      <c r="AN228" s="1" t="n"/>
      <c r="AO228" s="1" t="n"/>
      <c r="AP228" s="1" t="n"/>
      <c r="AQ228" s="1" t="n"/>
      <c r="AR228" s="1" t="n"/>
      <c r="AS228" s="1" t="n"/>
      <c r="AT228" s="1" t="n"/>
    </row>
    <row r="229" ht="14.25" customHeight="1" s="184">
      <c r="A229" s="1" t="n"/>
      <c r="B229" s="1" t="n"/>
      <c r="C229" s="1" t="n"/>
      <c r="D229" s="1" t="n"/>
      <c r="E229" s="1" t="n"/>
      <c r="F229" s="1" t="n"/>
      <c r="G229" s="1" t="n"/>
      <c r="H229" s="7" t="n"/>
      <c r="I229" s="7" t="n"/>
      <c r="J229" s="7" t="n"/>
      <c r="K229" s="1" t="n"/>
      <c r="L229" s="1" t="n"/>
      <c r="M229" s="1" t="n"/>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c r="AK229" s="1" t="n"/>
      <c r="AL229" s="1" t="n"/>
      <c r="AM229" s="1" t="n"/>
      <c r="AN229" s="1" t="n"/>
      <c r="AO229" s="1" t="n"/>
      <c r="AP229" s="1" t="n"/>
      <c r="AQ229" s="1" t="n"/>
      <c r="AR229" s="1" t="n"/>
      <c r="AS229" s="1" t="n"/>
      <c r="AT229" s="1" t="n"/>
    </row>
    <row r="230" ht="14.25" customHeight="1" s="184">
      <c r="A230" s="1" t="n"/>
      <c r="B230" s="1" t="n"/>
      <c r="C230" s="1" t="n"/>
      <c r="D230" s="1" t="n"/>
      <c r="E230" s="1" t="n"/>
      <c r="F230" s="1" t="n"/>
      <c r="G230" s="1" t="n"/>
      <c r="H230" s="7" t="n"/>
      <c r="I230" s="7" t="n"/>
      <c r="J230" s="7" t="n"/>
      <c r="K230" s="1" t="n"/>
      <c r="L230" s="1" t="n"/>
      <c r="M230" s="1" t="n"/>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c r="AK230" s="1" t="n"/>
      <c r="AL230" s="1" t="n"/>
      <c r="AM230" s="1" t="n"/>
      <c r="AN230" s="1" t="n"/>
      <c r="AO230" s="1" t="n"/>
      <c r="AP230" s="1" t="n"/>
      <c r="AQ230" s="1" t="n"/>
      <c r="AR230" s="1" t="n"/>
      <c r="AS230" s="1" t="n"/>
      <c r="AT230" s="1" t="n"/>
    </row>
    <row r="231" ht="14.25" customHeight="1" s="184">
      <c r="A231" s="1" t="n"/>
      <c r="B231" s="1" t="n"/>
      <c r="C231" s="1" t="n"/>
      <c r="D231" s="1" t="n"/>
      <c r="E231" s="1" t="n"/>
      <c r="F231" s="1" t="n"/>
      <c r="G231" s="1" t="n"/>
      <c r="H231" s="7" t="n"/>
      <c r="I231" s="7" t="n"/>
      <c r="J231" s="7" t="n"/>
      <c r="K231" s="1" t="n"/>
      <c r="L231" s="1" t="n"/>
      <c r="M231" s="1" t="n"/>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c r="AK231" s="1" t="n"/>
      <c r="AL231" s="1" t="n"/>
      <c r="AM231" s="1" t="n"/>
      <c r="AN231" s="1" t="n"/>
      <c r="AO231" s="1" t="n"/>
      <c r="AP231" s="1" t="n"/>
      <c r="AQ231" s="1" t="n"/>
      <c r="AR231" s="1" t="n"/>
      <c r="AS231" s="1" t="n"/>
      <c r="AT231" s="1" t="n"/>
    </row>
    <row r="232" ht="14.25" customHeight="1" s="184">
      <c r="A232" s="1" t="n"/>
      <c r="B232" s="1" t="n"/>
      <c r="C232" s="1" t="n"/>
      <c r="D232" s="1" t="n"/>
      <c r="E232" s="1" t="n"/>
      <c r="F232" s="1" t="n"/>
      <c r="G232" s="1" t="n"/>
      <c r="H232" s="7" t="n"/>
      <c r="I232" s="7" t="n"/>
      <c r="J232" s="7" t="n"/>
      <c r="K232" s="1" t="n"/>
      <c r="L232" s="1" t="n"/>
      <c r="M232" s="1" t="n"/>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c r="AK232" s="1" t="n"/>
      <c r="AL232" s="1" t="n"/>
      <c r="AM232" s="1" t="n"/>
      <c r="AN232" s="1" t="n"/>
      <c r="AO232" s="1" t="n"/>
      <c r="AP232" s="1" t="n"/>
      <c r="AQ232" s="1" t="n"/>
      <c r="AR232" s="1" t="n"/>
      <c r="AS232" s="1" t="n"/>
      <c r="AT232" s="1" t="n"/>
    </row>
    <row r="233" ht="14.25" customHeight="1" s="184">
      <c r="A233" s="1" t="n"/>
      <c r="B233" s="1" t="n"/>
      <c r="C233" s="1" t="n"/>
      <c r="D233" s="1" t="n"/>
      <c r="E233" s="1" t="n"/>
      <c r="F233" s="1" t="n"/>
      <c r="G233" s="1" t="n"/>
      <c r="H233" s="7" t="n"/>
      <c r="I233" s="7" t="n"/>
      <c r="J233" s="7" t="n"/>
      <c r="K233" s="1" t="n"/>
      <c r="L233" s="1" t="n"/>
      <c r="M233" s="1" t="n"/>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c r="AK233" s="1" t="n"/>
      <c r="AL233" s="1" t="n"/>
      <c r="AM233" s="1" t="n"/>
      <c r="AN233" s="1" t="n"/>
      <c r="AO233" s="1" t="n"/>
      <c r="AP233" s="1" t="n"/>
      <c r="AQ233" s="1" t="n"/>
      <c r="AR233" s="1" t="n"/>
      <c r="AS233" s="1" t="n"/>
      <c r="AT233" s="1" t="n"/>
    </row>
    <row r="234" ht="14.25" customHeight="1" s="184">
      <c r="A234" s="1" t="n"/>
      <c r="B234" s="1" t="n"/>
      <c r="C234" s="1" t="n"/>
      <c r="D234" s="1" t="n"/>
      <c r="E234" s="1" t="n"/>
      <c r="F234" s="1" t="n"/>
      <c r="G234" s="1" t="n"/>
      <c r="H234" s="7" t="n"/>
      <c r="I234" s="7" t="n"/>
      <c r="J234" s="7" t="n"/>
      <c r="K234" s="1" t="n"/>
      <c r="L234" s="1" t="n"/>
      <c r="M234" s="1" t="n"/>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c r="AK234" s="1" t="n"/>
      <c r="AL234" s="1" t="n"/>
      <c r="AM234" s="1" t="n"/>
      <c r="AN234" s="1" t="n"/>
      <c r="AO234" s="1" t="n"/>
      <c r="AP234" s="1" t="n"/>
      <c r="AQ234" s="1" t="n"/>
      <c r="AR234" s="1" t="n"/>
      <c r="AS234" s="1" t="n"/>
      <c r="AT234" s="1" t="n"/>
    </row>
    <row r="235" ht="14.25" customHeight="1" s="184">
      <c r="A235" s="1" t="n"/>
      <c r="B235" s="1" t="n"/>
      <c r="C235" s="1" t="n"/>
      <c r="D235" s="1" t="n"/>
      <c r="E235" s="1" t="n"/>
      <c r="F235" s="1" t="n"/>
      <c r="G235" s="1" t="n"/>
      <c r="H235" s="7" t="n"/>
      <c r="I235" s="7" t="n"/>
      <c r="J235" s="7" t="n"/>
      <c r="K235" s="1" t="n"/>
      <c r="L235" s="1" t="n"/>
      <c r="M235" s="1" t="n"/>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c r="AK235" s="1" t="n"/>
      <c r="AL235" s="1" t="n"/>
      <c r="AM235" s="1" t="n"/>
      <c r="AN235" s="1" t="n"/>
      <c r="AO235" s="1" t="n"/>
      <c r="AP235" s="1" t="n"/>
      <c r="AQ235" s="1" t="n"/>
      <c r="AR235" s="1" t="n"/>
      <c r="AS235" s="1" t="n"/>
      <c r="AT235" s="1" t="n"/>
    </row>
    <row r="236" ht="14.25" customHeight="1" s="184">
      <c r="A236" s="1" t="n"/>
      <c r="B236" s="1" t="n"/>
      <c r="C236" s="1" t="n"/>
      <c r="D236" s="1" t="n"/>
      <c r="E236" s="1" t="n"/>
      <c r="F236" s="1" t="n"/>
      <c r="G236" s="1" t="n"/>
      <c r="H236" s="7" t="n"/>
      <c r="I236" s="7" t="n"/>
      <c r="J236" s="7" t="n"/>
      <c r="K236" s="1" t="n"/>
      <c r="L236" s="1" t="n"/>
      <c r="M236" s="1" t="n"/>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c r="AK236" s="1" t="n"/>
      <c r="AL236" s="1" t="n"/>
      <c r="AM236" s="1" t="n"/>
      <c r="AN236" s="1" t="n"/>
      <c r="AO236" s="1" t="n"/>
      <c r="AP236" s="1" t="n"/>
      <c r="AQ236" s="1" t="n"/>
      <c r="AR236" s="1" t="n"/>
      <c r="AS236" s="1" t="n"/>
      <c r="AT236" s="1" t="n"/>
    </row>
    <row r="237" ht="14.25" customHeight="1" s="184">
      <c r="A237" s="1" t="n"/>
      <c r="B237" s="1" t="n"/>
      <c r="C237" s="1" t="n"/>
      <c r="D237" s="1" t="n"/>
      <c r="E237" s="1" t="n"/>
      <c r="F237" s="1" t="n"/>
      <c r="G237" s="1" t="n"/>
      <c r="H237" s="7" t="n"/>
      <c r="I237" s="7" t="n"/>
      <c r="J237" s="7" t="n"/>
      <c r="K237" s="1" t="n"/>
      <c r="L237" s="1" t="n"/>
      <c r="M237" s="1" t="n"/>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c r="AK237" s="1" t="n"/>
      <c r="AL237" s="1" t="n"/>
      <c r="AM237" s="1" t="n"/>
      <c r="AN237" s="1" t="n"/>
      <c r="AO237" s="1" t="n"/>
      <c r="AP237" s="1" t="n"/>
      <c r="AQ237" s="1" t="n"/>
      <c r="AR237" s="1" t="n"/>
      <c r="AS237" s="1" t="n"/>
      <c r="AT237" s="1" t="n"/>
    </row>
    <row r="238" ht="14.25" customHeight="1" s="184">
      <c r="A238" s="1" t="n"/>
      <c r="B238" s="1" t="n"/>
      <c r="C238" s="1" t="n"/>
      <c r="D238" s="1" t="n"/>
      <c r="E238" s="1" t="n"/>
      <c r="F238" s="1" t="n"/>
      <c r="G238" s="1" t="n"/>
      <c r="H238" s="7" t="n"/>
      <c r="I238" s="7" t="n"/>
      <c r="J238" s="7" t="n"/>
      <c r="K238" s="1" t="n"/>
      <c r="L238" s="1" t="n"/>
      <c r="M238" s="1" t="n"/>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c r="AK238" s="1" t="n"/>
      <c r="AL238" s="1" t="n"/>
      <c r="AM238" s="1" t="n"/>
      <c r="AN238" s="1" t="n"/>
      <c r="AO238" s="1" t="n"/>
      <c r="AP238" s="1" t="n"/>
      <c r="AQ238" s="1" t="n"/>
      <c r="AR238" s="1" t="n"/>
      <c r="AS238" s="1" t="n"/>
      <c r="AT238" s="1" t="n"/>
    </row>
    <row r="239" ht="14.25" customHeight="1" s="184">
      <c r="A239" s="1" t="n"/>
      <c r="B239" s="1" t="n"/>
      <c r="C239" s="1" t="n"/>
      <c r="D239" s="1" t="n"/>
      <c r="E239" s="1" t="n"/>
      <c r="F239" s="1" t="n"/>
      <c r="G239" s="1" t="n"/>
      <c r="H239" s="7" t="n"/>
      <c r="I239" s="7" t="n"/>
      <c r="J239" s="7" t="n"/>
      <c r="K239" s="1" t="n"/>
      <c r="L239" s="1" t="n"/>
      <c r="M239" s="1" t="n"/>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c r="AK239" s="1" t="n"/>
      <c r="AL239" s="1" t="n"/>
      <c r="AM239" s="1" t="n"/>
      <c r="AN239" s="1" t="n"/>
      <c r="AO239" s="1" t="n"/>
      <c r="AP239" s="1" t="n"/>
      <c r="AQ239" s="1" t="n"/>
      <c r="AR239" s="1" t="n"/>
      <c r="AS239" s="1" t="n"/>
      <c r="AT239" s="1" t="n"/>
    </row>
    <row r="240" ht="14.25" customHeight="1" s="184">
      <c r="A240" s="1" t="n"/>
      <c r="B240" s="1" t="n"/>
      <c r="C240" s="1" t="n"/>
      <c r="D240" s="1" t="n"/>
      <c r="E240" s="1" t="n"/>
      <c r="F240" s="1" t="n"/>
      <c r="G240" s="1" t="n"/>
      <c r="H240" s="7" t="n"/>
      <c r="I240" s="7" t="n"/>
      <c r="J240" s="7" t="n"/>
      <c r="K240" s="1" t="n"/>
      <c r="L240" s="1" t="n"/>
      <c r="M240" s="1" t="n"/>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c r="AK240" s="1" t="n"/>
      <c r="AL240" s="1" t="n"/>
      <c r="AM240" s="1" t="n"/>
      <c r="AN240" s="1" t="n"/>
      <c r="AO240" s="1" t="n"/>
      <c r="AP240" s="1" t="n"/>
      <c r="AQ240" s="1" t="n"/>
      <c r="AR240" s="1" t="n"/>
      <c r="AS240" s="1" t="n"/>
      <c r="AT240" s="1" t="n"/>
    </row>
    <row r="241" ht="14.25" customHeight="1" s="184">
      <c r="A241" s="1" t="n"/>
      <c r="B241" s="1" t="n"/>
      <c r="C241" s="1" t="n"/>
      <c r="D241" s="1" t="n"/>
      <c r="E241" s="1" t="n"/>
      <c r="F241" s="1" t="n"/>
      <c r="G241" s="1" t="n"/>
      <c r="H241" s="7" t="n"/>
      <c r="I241" s="7" t="n"/>
      <c r="J241" s="7" t="n"/>
      <c r="K241" s="1" t="n"/>
      <c r="L241" s="1" t="n"/>
      <c r="M241" s="1" t="n"/>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c r="AK241" s="1" t="n"/>
      <c r="AL241" s="1" t="n"/>
      <c r="AM241" s="1" t="n"/>
      <c r="AN241" s="1" t="n"/>
      <c r="AO241" s="1" t="n"/>
      <c r="AP241" s="1" t="n"/>
      <c r="AQ241" s="1" t="n"/>
      <c r="AR241" s="1" t="n"/>
      <c r="AS241" s="1" t="n"/>
      <c r="AT241" s="1" t="n"/>
    </row>
    <row r="242" ht="14.25" customHeight="1" s="184">
      <c r="A242" s="1" t="n"/>
      <c r="B242" s="1" t="n"/>
      <c r="C242" s="1" t="n"/>
      <c r="D242" s="1" t="n"/>
      <c r="E242" s="1" t="n"/>
      <c r="F242" s="1" t="n"/>
      <c r="G242" s="1" t="n"/>
      <c r="H242" s="7" t="n"/>
      <c r="I242" s="7" t="n"/>
      <c r="J242" s="7" t="n"/>
      <c r="K242" s="1" t="n"/>
      <c r="L242" s="1" t="n"/>
      <c r="M242" s="1" t="n"/>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c r="AK242" s="1" t="n"/>
      <c r="AL242" s="1" t="n"/>
      <c r="AM242" s="1" t="n"/>
      <c r="AN242" s="1" t="n"/>
      <c r="AO242" s="1" t="n"/>
      <c r="AP242" s="1" t="n"/>
      <c r="AQ242" s="1" t="n"/>
      <c r="AR242" s="1" t="n"/>
      <c r="AS242" s="1" t="n"/>
      <c r="AT242" s="1" t="n"/>
    </row>
    <row r="243" ht="14.25" customHeight="1" s="184">
      <c r="A243" s="1" t="n"/>
      <c r="B243" s="1" t="n"/>
      <c r="C243" s="1" t="n"/>
      <c r="D243" s="1" t="n"/>
      <c r="E243" s="1" t="n"/>
      <c r="F243" s="1" t="n"/>
      <c r="G243" s="1" t="n"/>
      <c r="H243" s="7" t="n"/>
      <c r="I243" s="7" t="n"/>
      <c r="J243" s="7" t="n"/>
      <c r="K243" s="1" t="n"/>
      <c r="L243" s="1" t="n"/>
      <c r="M243" s="1" t="n"/>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c r="AK243" s="1" t="n"/>
      <c r="AL243" s="1" t="n"/>
      <c r="AM243" s="1" t="n"/>
      <c r="AN243" s="1" t="n"/>
      <c r="AO243" s="1" t="n"/>
      <c r="AP243" s="1" t="n"/>
      <c r="AQ243" s="1" t="n"/>
      <c r="AR243" s="1" t="n"/>
      <c r="AS243" s="1" t="n"/>
      <c r="AT243" s="1" t="n"/>
    </row>
    <row r="244" ht="14.25" customHeight="1" s="184">
      <c r="A244" s="1" t="n"/>
      <c r="B244" s="1" t="n"/>
      <c r="C244" s="1" t="n"/>
      <c r="D244" s="1" t="n"/>
      <c r="E244" s="1" t="n"/>
      <c r="F244" s="1" t="n"/>
      <c r="G244" s="1" t="n"/>
      <c r="H244" s="7" t="n"/>
      <c r="I244" s="7" t="n"/>
      <c r="J244" s="7" t="n"/>
      <c r="K244" s="1" t="n"/>
      <c r="L244" s="1" t="n"/>
      <c r="M244" s="1" t="n"/>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c r="AK244" s="1" t="n"/>
      <c r="AL244" s="1" t="n"/>
      <c r="AM244" s="1" t="n"/>
      <c r="AN244" s="1" t="n"/>
      <c r="AO244" s="1" t="n"/>
      <c r="AP244" s="1" t="n"/>
      <c r="AQ244" s="1" t="n"/>
      <c r="AR244" s="1" t="n"/>
      <c r="AS244" s="1" t="n"/>
      <c r="AT244" s="1" t="n"/>
    </row>
    <row r="245" ht="14.25" customHeight="1" s="184">
      <c r="A245" s="1" t="n"/>
      <c r="B245" s="1" t="n"/>
      <c r="C245" s="1" t="n"/>
      <c r="D245" s="1" t="n"/>
      <c r="E245" s="1" t="n"/>
      <c r="F245" s="1" t="n"/>
      <c r="G245" s="1" t="n"/>
      <c r="H245" s="7" t="n"/>
      <c r="I245" s="7" t="n"/>
      <c r="J245" s="7" t="n"/>
      <c r="K245" s="1" t="n"/>
      <c r="L245" s="1" t="n"/>
      <c r="M245" s="1" t="n"/>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c r="AK245" s="1" t="n"/>
      <c r="AL245" s="1" t="n"/>
      <c r="AM245" s="1" t="n"/>
      <c r="AN245" s="1" t="n"/>
      <c r="AO245" s="1" t="n"/>
      <c r="AP245" s="1" t="n"/>
      <c r="AQ245" s="1" t="n"/>
      <c r="AR245" s="1" t="n"/>
      <c r="AS245" s="1" t="n"/>
      <c r="AT245" s="1" t="n"/>
    </row>
    <row r="246" ht="14.25" customHeight="1" s="184">
      <c r="A246" s="1" t="n"/>
      <c r="B246" s="1" t="n"/>
      <c r="C246" s="1" t="n"/>
      <c r="D246" s="1" t="n"/>
      <c r="E246" s="1" t="n"/>
      <c r="F246" s="1" t="n"/>
      <c r="G246" s="1" t="n"/>
      <c r="H246" s="7" t="n"/>
      <c r="I246" s="7" t="n"/>
      <c r="J246" s="7" t="n"/>
      <c r="K246" s="1" t="n"/>
      <c r="L246" s="1" t="n"/>
      <c r="M246" s="1" t="n"/>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c r="AK246" s="1" t="n"/>
      <c r="AL246" s="1" t="n"/>
      <c r="AM246" s="1" t="n"/>
      <c r="AN246" s="1" t="n"/>
      <c r="AO246" s="1" t="n"/>
      <c r="AP246" s="1" t="n"/>
      <c r="AQ246" s="1" t="n"/>
      <c r="AR246" s="1" t="n"/>
      <c r="AS246" s="1" t="n"/>
      <c r="AT246" s="1" t="n"/>
    </row>
    <row r="247" ht="14.25" customHeight="1" s="184">
      <c r="A247" s="1" t="n"/>
      <c r="B247" s="1" t="n"/>
      <c r="C247" s="1" t="n"/>
      <c r="D247" s="1" t="n"/>
      <c r="E247" s="1" t="n"/>
      <c r="F247" s="1" t="n"/>
      <c r="G247" s="1" t="n"/>
      <c r="H247" s="7" t="n"/>
      <c r="I247" s="7" t="n"/>
      <c r="J247" s="7" t="n"/>
      <c r="K247" s="1" t="n"/>
      <c r="L247" s="1" t="n"/>
      <c r="M247" s="1" t="n"/>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c r="AK247" s="1" t="n"/>
      <c r="AL247" s="1" t="n"/>
      <c r="AM247" s="1" t="n"/>
      <c r="AN247" s="1" t="n"/>
      <c r="AO247" s="1" t="n"/>
      <c r="AP247" s="1" t="n"/>
      <c r="AQ247" s="1" t="n"/>
      <c r="AR247" s="1" t="n"/>
      <c r="AS247" s="1" t="n"/>
      <c r="AT247" s="1" t="n"/>
    </row>
    <row r="248" ht="14.25" customHeight="1" s="184">
      <c r="A248" s="1" t="n"/>
      <c r="B248" s="1" t="n"/>
      <c r="C248" s="1" t="n"/>
      <c r="D248" s="1" t="n"/>
      <c r="E248" s="1" t="n"/>
      <c r="F248" s="1" t="n"/>
      <c r="G248" s="1" t="n"/>
      <c r="H248" s="7" t="n"/>
      <c r="I248" s="7" t="n"/>
      <c r="J248" s="7" t="n"/>
      <c r="K248" s="1" t="n"/>
      <c r="L248" s="1" t="n"/>
      <c r="M248" s="1" t="n"/>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c r="AK248" s="1" t="n"/>
      <c r="AL248" s="1" t="n"/>
      <c r="AM248" s="1" t="n"/>
      <c r="AN248" s="1" t="n"/>
      <c r="AO248" s="1" t="n"/>
      <c r="AP248" s="1" t="n"/>
      <c r="AQ248" s="1" t="n"/>
      <c r="AR248" s="1" t="n"/>
      <c r="AS248" s="1" t="n"/>
      <c r="AT248" s="1" t="n"/>
    </row>
    <row r="249" ht="14.25" customHeight="1" s="184">
      <c r="A249" s="1" t="n"/>
      <c r="B249" s="1" t="n"/>
      <c r="C249" s="1" t="n"/>
      <c r="D249" s="1" t="n"/>
      <c r="E249" s="1" t="n"/>
      <c r="F249" s="1" t="n"/>
      <c r="G249" s="1" t="n"/>
      <c r="H249" s="7" t="n"/>
      <c r="I249" s="7" t="n"/>
      <c r="J249" s="7" t="n"/>
      <c r="K249" s="1" t="n"/>
      <c r="L249" s="1" t="n"/>
      <c r="M249" s="1" t="n"/>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c r="AK249" s="1" t="n"/>
      <c r="AL249" s="1" t="n"/>
      <c r="AM249" s="1" t="n"/>
      <c r="AN249" s="1" t="n"/>
      <c r="AO249" s="1" t="n"/>
      <c r="AP249" s="1" t="n"/>
      <c r="AQ249" s="1" t="n"/>
      <c r="AR249" s="1" t="n"/>
      <c r="AS249" s="1" t="n"/>
      <c r="AT249" s="1" t="n"/>
    </row>
    <row r="250" ht="14.25" customHeight="1" s="184">
      <c r="A250" s="1" t="n"/>
      <c r="B250" s="1" t="n"/>
      <c r="C250" s="1" t="n"/>
      <c r="D250" s="1" t="n"/>
      <c r="E250" s="1" t="n"/>
      <c r="F250" s="1" t="n"/>
      <c r="G250" s="1" t="n"/>
      <c r="H250" s="7" t="n"/>
      <c r="I250" s="7" t="n"/>
      <c r="J250" s="7" t="n"/>
      <c r="K250" s="1" t="n"/>
      <c r="L250" s="1" t="n"/>
      <c r="M250" s="1" t="n"/>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c r="AK250" s="1" t="n"/>
      <c r="AL250" s="1" t="n"/>
      <c r="AM250" s="1" t="n"/>
      <c r="AN250" s="1" t="n"/>
      <c r="AO250" s="1" t="n"/>
      <c r="AP250" s="1" t="n"/>
      <c r="AQ250" s="1" t="n"/>
      <c r="AR250" s="1" t="n"/>
      <c r="AS250" s="1" t="n"/>
      <c r="AT250" s="1" t="n"/>
    </row>
    <row r="251" ht="14.25" customHeight="1" s="184">
      <c r="A251" s="1" t="n"/>
      <c r="B251" s="1" t="n"/>
      <c r="C251" s="1" t="n"/>
      <c r="D251" s="1" t="n"/>
      <c r="E251" s="1" t="n"/>
      <c r="F251" s="1" t="n"/>
      <c r="G251" s="1" t="n"/>
      <c r="H251" s="7" t="n"/>
      <c r="I251" s="7" t="n"/>
      <c r="J251" s="7" t="n"/>
      <c r="K251" s="1" t="n"/>
      <c r="L251" s="1" t="n"/>
      <c r="M251" s="1" t="n"/>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c r="AK251" s="1" t="n"/>
      <c r="AL251" s="1" t="n"/>
      <c r="AM251" s="1" t="n"/>
      <c r="AN251" s="1" t="n"/>
      <c r="AO251" s="1" t="n"/>
      <c r="AP251" s="1" t="n"/>
      <c r="AQ251" s="1" t="n"/>
      <c r="AR251" s="1" t="n"/>
      <c r="AS251" s="1" t="n"/>
      <c r="AT251" s="1" t="n"/>
    </row>
    <row r="252" ht="14.25" customHeight="1" s="184">
      <c r="A252" s="1" t="n"/>
      <c r="B252" s="1" t="n"/>
      <c r="C252" s="1" t="n"/>
      <c r="D252" s="1" t="n"/>
      <c r="E252" s="1" t="n"/>
      <c r="F252" s="1" t="n"/>
      <c r="G252" s="1" t="n"/>
      <c r="H252" s="7" t="n"/>
      <c r="I252" s="7" t="n"/>
      <c r="J252" s="7" t="n"/>
      <c r="K252" s="1" t="n"/>
      <c r="L252" s="1" t="n"/>
      <c r="M252" s="1" t="n"/>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c r="AK252" s="1" t="n"/>
      <c r="AL252" s="1" t="n"/>
      <c r="AM252" s="1" t="n"/>
      <c r="AN252" s="1" t="n"/>
      <c r="AO252" s="1" t="n"/>
      <c r="AP252" s="1" t="n"/>
      <c r="AQ252" s="1" t="n"/>
      <c r="AR252" s="1" t="n"/>
      <c r="AS252" s="1" t="n"/>
      <c r="AT252" s="1" t="n"/>
    </row>
    <row r="253" ht="14.25" customHeight="1" s="184">
      <c r="A253" s="1" t="n"/>
      <c r="B253" s="1" t="n"/>
      <c r="C253" s="1" t="n"/>
      <c r="D253" s="1" t="n"/>
      <c r="E253" s="1" t="n"/>
      <c r="F253" s="1" t="n"/>
      <c r="G253" s="1" t="n"/>
      <c r="H253" s="7" t="n"/>
      <c r="I253" s="7" t="n"/>
      <c r="J253" s="7" t="n"/>
      <c r="K253" s="1" t="n"/>
      <c r="L253" s="1" t="n"/>
      <c r="M253" s="1" t="n"/>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c r="AK253" s="1" t="n"/>
      <c r="AL253" s="1" t="n"/>
      <c r="AM253" s="1" t="n"/>
      <c r="AN253" s="1" t="n"/>
      <c r="AO253" s="1" t="n"/>
      <c r="AP253" s="1" t="n"/>
      <c r="AQ253" s="1" t="n"/>
      <c r="AR253" s="1" t="n"/>
      <c r="AS253" s="1" t="n"/>
      <c r="AT253" s="1" t="n"/>
    </row>
    <row r="254" ht="14.25" customHeight="1" s="184">
      <c r="A254" s="1" t="n"/>
      <c r="B254" s="1" t="n"/>
      <c r="C254" s="1" t="n"/>
      <c r="D254" s="1" t="n"/>
      <c r="E254" s="1" t="n"/>
      <c r="F254" s="1" t="n"/>
      <c r="G254" s="1" t="n"/>
      <c r="H254" s="7" t="n"/>
      <c r="I254" s="7" t="n"/>
      <c r="J254" s="7" t="n"/>
      <c r="K254" s="1" t="n"/>
      <c r="L254" s="1" t="n"/>
      <c r="M254" s="1" t="n"/>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c r="AK254" s="1" t="n"/>
      <c r="AL254" s="1" t="n"/>
      <c r="AM254" s="1" t="n"/>
      <c r="AN254" s="1" t="n"/>
      <c r="AO254" s="1" t="n"/>
      <c r="AP254" s="1" t="n"/>
      <c r="AQ254" s="1" t="n"/>
      <c r="AR254" s="1" t="n"/>
      <c r="AS254" s="1" t="n"/>
      <c r="AT254" s="1" t="n"/>
    </row>
    <row r="255" ht="14.25" customHeight="1" s="184">
      <c r="A255" s="1" t="n"/>
      <c r="B255" s="1" t="n"/>
      <c r="C255" s="1" t="n"/>
      <c r="D255" s="1" t="n"/>
      <c r="E255" s="1" t="n"/>
      <c r="F255" s="1" t="n"/>
      <c r="G255" s="1" t="n"/>
      <c r="H255" s="7" t="n"/>
      <c r="I255" s="7" t="n"/>
      <c r="J255" s="7" t="n"/>
      <c r="K255" s="1" t="n"/>
      <c r="L255" s="1" t="n"/>
      <c r="M255" s="1" t="n"/>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c r="AK255" s="1" t="n"/>
      <c r="AL255" s="1" t="n"/>
      <c r="AM255" s="1" t="n"/>
      <c r="AN255" s="1" t="n"/>
      <c r="AO255" s="1" t="n"/>
      <c r="AP255" s="1" t="n"/>
      <c r="AQ255" s="1" t="n"/>
      <c r="AR255" s="1" t="n"/>
      <c r="AS255" s="1" t="n"/>
      <c r="AT255" s="1" t="n"/>
    </row>
    <row r="256" ht="14.25" customHeight="1" s="184">
      <c r="A256" s="1" t="n"/>
      <c r="B256" s="1" t="n"/>
      <c r="C256" s="1" t="n"/>
      <c r="D256" s="1" t="n"/>
      <c r="E256" s="1" t="n"/>
      <c r="F256" s="1" t="n"/>
      <c r="G256" s="1" t="n"/>
      <c r="H256" s="7" t="n"/>
      <c r="I256" s="7" t="n"/>
      <c r="J256" s="7" t="n"/>
      <c r="K256" s="1" t="n"/>
      <c r="L256" s="1" t="n"/>
      <c r="M256" s="1" t="n"/>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c r="AK256" s="1" t="n"/>
      <c r="AL256" s="1" t="n"/>
      <c r="AM256" s="1" t="n"/>
      <c r="AN256" s="1" t="n"/>
      <c r="AO256" s="1" t="n"/>
      <c r="AP256" s="1" t="n"/>
      <c r="AQ256" s="1" t="n"/>
      <c r="AR256" s="1" t="n"/>
      <c r="AS256" s="1" t="n"/>
      <c r="AT256" s="1" t="n"/>
    </row>
    <row r="257" ht="14.25" customHeight="1" s="184">
      <c r="A257" s="1" t="n"/>
      <c r="B257" s="1" t="n"/>
      <c r="C257" s="1" t="n"/>
      <c r="D257" s="1" t="n"/>
      <c r="E257" s="1" t="n"/>
      <c r="F257" s="1" t="n"/>
      <c r="G257" s="1" t="n"/>
      <c r="H257" s="7" t="n"/>
      <c r="I257" s="7" t="n"/>
      <c r="J257" s="7" t="n"/>
      <c r="K257" s="1" t="n"/>
      <c r="L257" s="1" t="n"/>
      <c r="M257" s="1"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c r="AK257" s="1" t="n"/>
      <c r="AL257" s="1" t="n"/>
      <c r="AM257" s="1" t="n"/>
      <c r="AN257" s="1" t="n"/>
      <c r="AO257" s="1" t="n"/>
      <c r="AP257" s="1" t="n"/>
      <c r="AQ257" s="1" t="n"/>
      <c r="AR257" s="1" t="n"/>
      <c r="AS257" s="1" t="n"/>
      <c r="AT257" s="1" t="n"/>
    </row>
    <row r="258" ht="14.25" customHeight="1" s="184">
      <c r="A258" s="1" t="n"/>
      <c r="B258" s="1" t="n"/>
      <c r="C258" s="1" t="n"/>
      <c r="D258" s="1" t="n"/>
      <c r="E258" s="1" t="n"/>
      <c r="F258" s="1" t="n"/>
      <c r="G258" s="1" t="n"/>
      <c r="H258" s="7" t="n"/>
      <c r="I258" s="7" t="n"/>
      <c r="J258" s="7" t="n"/>
      <c r="K258" s="1" t="n"/>
      <c r="L258" s="1" t="n"/>
      <c r="M258" s="1" t="n"/>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c r="AK258" s="1" t="n"/>
      <c r="AL258" s="1" t="n"/>
      <c r="AM258" s="1" t="n"/>
      <c r="AN258" s="1" t="n"/>
      <c r="AO258" s="1" t="n"/>
      <c r="AP258" s="1" t="n"/>
      <c r="AQ258" s="1" t="n"/>
      <c r="AR258" s="1" t="n"/>
      <c r="AS258" s="1" t="n"/>
      <c r="AT258" s="1" t="n"/>
    </row>
    <row r="259" ht="14.25" customHeight="1" s="184">
      <c r="A259" s="1" t="n"/>
      <c r="B259" s="1" t="n"/>
      <c r="C259" s="1" t="n"/>
      <c r="D259" s="1" t="n"/>
      <c r="E259" s="1" t="n"/>
      <c r="F259" s="1" t="n"/>
      <c r="G259" s="1" t="n"/>
      <c r="H259" s="7" t="n"/>
      <c r="I259" s="7" t="n"/>
      <c r="J259" s="7" t="n"/>
      <c r="K259" s="1" t="n"/>
      <c r="L259" s="1" t="n"/>
      <c r="M259" s="1" t="n"/>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c r="AK259" s="1" t="n"/>
      <c r="AL259" s="1" t="n"/>
      <c r="AM259" s="1" t="n"/>
      <c r="AN259" s="1" t="n"/>
      <c r="AO259" s="1" t="n"/>
      <c r="AP259" s="1" t="n"/>
      <c r="AQ259" s="1" t="n"/>
      <c r="AR259" s="1" t="n"/>
      <c r="AS259" s="1" t="n"/>
      <c r="AT259" s="1" t="n"/>
    </row>
    <row r="260" ht="14.25" customHeight="1" s="184">
      <c r="A260" s="1" t="n"/>
      <c r="B260" s="1" t="n"/>
      <c r="C260" s="1" t="n"/>
      <c r="D260" s="1" t="n"/>
      <c r="E260" s="1" t="n"/>
      <c r="F260" s="1" t="n"/>
      <c r="G260" s="1" t="n"/>
      <c r="H260" s="7" t="n"/>
      <c r="I260" s="7" t="n"/>
      <c r="J260" s="7" t="n"/>
      <c r="K260" s="1" t="n"/>
      <c r="L260" s="1" t="n"/>
      <c r="M260" s="1" t="n"/>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c r="AK260" s="1" t="n"/>
      <c r="AL260" s="1" t="n"/>
      <c r="AM260" s="1" t="n"/>
      <c r="AN260" s="1" t="n"/>
      <c r="AO260" s="1" t="n"/>
      <c r="AP260" s="1" t="n"/>
      <c r="AQ260" s="1" t="n"/>
      <c r="AR260" s="1" t="n"/>
      <c r="AS260" s="1" t="n"/>
      <c r="AT260" s="1" t="n"/>
    </row>
    <row r="261" ht="14.25" customHeight="1" s="184">
      <c r="A261" s="1" t="n"/>
      <c r="B261" s="1" t="n"/>
      <c r="C261" s="1" t="n"/>
      <c r="D261" s="1" t="n"/>
      <c r="E261" s="1" t="n"/>
      <c r="F261" s="1" t="n"/>
      <c r="G261" s="1" t="n"/>
      <c r="H261" s="7" t="n"/>
      <c r="I261" s="7" t="n"/>
      <c r="J261" s="7" t="n"/>
      <c r="K261" s="1" t="n"/>
      <c r="L261" s="1" t="n"/>
      <c r="M261" s="1" t="n"/>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c r="AK261" s="1" t="n"/>
      <c r="AL261" s="1" t="n"/>
      <c r="AM261" s="1" t="n"/>
      <c r="AN261" s="1" t="n"/>
      <c r="AO261" s="1" t="n"/>
      <c r="AP261" s="1" t="n"/>
      <c r="AQ261" s="1" t="n"/>
      <c r="AR261" s="1" t="n"/>
      <c r="AS261" s="1" t="n"/>
      <c r="AT261" s="1" t="n"/>
    </row>
    <row r="262" ht="14.25" customHeight="1" s="184">
      <c r="A262" s="1" t="n"/>
      <c r="B262" s="1" t="n"/>
      <c r="C262" s="1" t="n"/>
      <c r="D262" s="1" t="n"/>
      <c r="E262" s="1" t="n"/>
      <c r="F262" s="1" t="n"/>
      <c r="G262" s="1" t="n"/>
      <c r="H262" s="7" t="n"/>
      <c r="I262" s="7" t="n"/>
      <c r="J262" s="7" t="n"/>
      <c r="K262" s="1" t="n"/>
      <c r="L262" s="1" t="n"/>
      <c r="M262" s="1" t="n"/>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c r="AK262" s="1" t="n"/>
      <c r="AL262" s="1" t="n"/>
      <c r="AM262" s="1" t="n"/>
      <c r="AN262" s="1" t="n"/>
      <c r="AO262" s="1" t="n"/>
      <c r="AP262" s="1" t="n"/>
      <c r="AQ262" s="1" t="n"/>
      <c r="AR262" s="1" t="n"/>
      <c r="AS262" s="1" t="n"/>
      <c r="AT262" s="1" t="n"/>
    </row>
    <row r="263" ht="14.25" customHeight="1" s="184">
      <c r="A263" s="1" t="n"/>
      <c r="B263" s="1" t="n"/>
      <c r="C263" s="1" t="n"/>
      <c r="D263" s="1" t="n"/>
      <c r="E263" s="1" t="n"/>
      <c r="F263" s="1" t="n"/>
      <c r="G263" s="1" t="n"/>
      <c r="H263" s="7" t="n"/>
      <c r="I263" s="7" t="n"/>
      <c r="J263" s="7"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c r="AL263" s="1" t="n"/>
      <c r="AM263" s="1" t="n"/>
      <c r="AN263" s="1" t="n"/>
      <c r="AO263" s="1" t="n"/>
      <c r="AP263" s="1" t="n"/>
      <c r="AQ263" s="1" t="n"/>
      <c r="AR263" s="1" t="n"/>
      <c r="AS263" s="1" t="n"/>
      <c r="AT263" s="1" t="n"/>
    </row>
    <row r="264" ht="14.25" customHeight="1" s="184">
      <c r="A264" s="1" t="n"/>
      <c r="B264" s="1" t="n"/>
      <c r="C264" s="1" t="n"/>
      <c r="D264" s="1" t="n"/>
      <c r="E264" s="1" t="n"/>
      <c r="F264" s="1" t="n"/>
      <c r="G264" s="1" t="n"/>
      <c r="H264" s="7" t="n"/>
      <c r="I264" s="7" t="n"/>
      <c r="J264" s="7"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c r="AL264" s="1" t="n"/>
      <c r="AM264" s="1" t="n"/>
      <c r="AN264" s="1" t="n"/>
      <c r="AO264" s="1" t="n"/>
      <c r="AP264" s="1" t="n"/>
      <c r="AQ264" s="1" t="n"/>
      <c r="AR264" s="1" t="n"/>
      <c r="AS264" s="1" t="n"/>
      <c r="AT264" s="1" t="n"/>
    </row>
    <row r="265" ht="14.25" customHeight="1" s="184">
      <c r="A265" s="1" t="n"/>
      <c r="B265" s="1" t="n"/>
      <c r="C265" s="1" t="n"/>
      <c r="D265" s="1" t="n"/>
      <c r="E265" s="1" t="n"/>
      <c r="F265" s="1" t="n"/>
      <c r="G265" s="1" t="n"/>
      <c r="H265" s="7" t="n"/>
      <c r="I265" s="7" t="n"/>
      <c r="J265" s="7"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c r="AL265" s="1" t="n"/>
      <c r="AM265" s="1" t="n"/>
      <c r="AN265" s="1" t="n"/>
      <c r="AO265" s="1" t="n"/>
      <c r="AP265" s="1" t="n"/>
      <c r="AQ265" s="1" t="n"/>
      <c r="AR265" s="1" t="n"/>
      <c r="AS265" s="1" t="n"/>
      <c r="AT265" s="1" t="n"/>
    </row>
    <row r="266" ht="14.25" customHeight="1" s="184">
      <c r="A266" s="1" t="n"/>
      <c r="B266" s="1" t="n"/>
      <c r="C266" s="1" t="n"/>
      <c r="D266" s="1" t="n"/>
      <c r="E266" s="1" t="n"/>
      <c r="F266" s="1" t="n"/>
      <c r="G266" s="1" t="n"/>
      <c r="H266" s="7" t="n"/>
      <c r="I266" s="7" t="n"/>
      <c r="J266" s="7"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c r="AL266" s="1" t="n"/>
      <c r="AM266" s="1" t="n"/>
      <c r="AN266" s="1" t="n"/>
      <c r="AO266" s="1" t="n"/>
      <c r="AP266" s="1" t="n"/>
      <c r="AQ266" s="1" t="n"/>
      <c r="AR266" s="1" t="n"/>
      <c r="AS266" s="1" t="n"/>
      <c r="AT266" s="1" t="n"/>
    </row>
    <row r="267" ht="14.25" customHeight="1" s="184">
      <c r="A267" s="1" t="n"/>
      <c r="B267" s="1" t="n"/>
      <c r="C267" s="1" t="n"/>
      <c r="D267" s="1" t="n"/>
      <c r="E267" s="1" t="n"/>
      <c r="F267" s="1" t="n"/>
      <c r="G267" s="1" t="n"/>
      <c r="H267" s="7" t="n"/>
      <c r="I267" s="7" t="n"/>
      <c r="J267" s="7"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c r="AL267" s="1" t="n"/>
      <c r="AM267" s="1" t="n"/>
      <c r="AN267" s="1" t="n"/>
      <c r="AO267" s="1" t="n"/>
      <c r="AP267" s="1" t="n"/>
      <c r="AQ267" s="1" t="n"/>
      <c r="AR267" s="1" t="n"/>
      <c r="AS267" s="1" t="n"/>
      <c r="AT267" s="1" t="n"/>
    </row>
    <row r="268" ht="14.25" customHeight="1" s="184">
      <c r="A268" s="1" t="n"/>
      <c r="B268" s="1" t="n"/>
      <c r="C268" s="1" t="n"/>
      <c r="D268" s="1" t="n"/>
      <c r="E268" s="1" t="n"/>
      <c r="F268" s="1" t="n"/>
      <c r="G268" s="1" t="n"/>
      <c r="H268" s="7" t="n"/>
      <c r="I268" s="7" t="n"/>
      <c r="J268" s="7"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c r="AL268" s="1" t="n"/>
      <c r="AM268" s="1" t="n"/>
      <c r="AN268" s="1" t="n"/>
      <c r="AO268" s="1" t="n"/>
      <c r="AP268" s="1" t="n"/>
      <c r="AQ268" s="1" t="n"/>
      <c r="AR268" s="1" t="n"/>
      <c r="AS268" s="1" t="n"/>
      <c r="AT268" s="1" t="n"/>
    </row>
    <row r="269" ht="14.25" customHeight="1" s="184">
      <c r="A269" s="1" t="n"/>
      <c r="B269" s="1" t="n"/>
      <c r="C269" s="1" t="n"/>
      <c r="D269" s="1" t="n"/>
      <c r="E269" s="1" t="n"/>
      <c r="F269" s="1" t="n"/>
      <c r="G269" s="1" t="n"/>
      <c r="H269" s="7" t="n"/>
      <c r="I269" s="7" t="n"/>
      <c r="J269" s="7"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c r="AL269" s="1" t="n"/>
      <c r="AM269" s="1" t="n"/>
      <c r="AN269" s="1" t="n"/>
      <c r="AO269" s="1" t="n"/>
      <c r="AP269" s="1" t="n"/>
      <c r="AQ269" s="1" t="n"/>
      <c r="AR269" s="1" t="n"/>
      <c r="AS269" s="1" t="n"/>
      <c r="AT269" s="1" t="n"/>
    </row>
    <row r="270" ht="14.25" customHeight="1" s="184">
      <c r="A270" s="1" t="n"/>
      <c r="B270" s="1" t="n"/>
      <c r="C270" s="1" t="n"/>
      <c r="D270" s="1" t="n"/>
      <c r="E270" s="1" t="n"/>
      <c r="F270" s="1" t="n"/>
      <c r="G270" s="1" t="n"/>
      <c r="H270" s="7" t="n"/>
      <c r="I270" s="7" t="n"/>
      <c r="J270" s="7"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c r="AL270" s="1" t="n"/>
      <c r="AM270" s="1" t="n"/>
      <c r="AN270" s="1" t="n"/>
      <c r="AO270" s="1" t="n"/>
      <c r="AP270" s="1" t="n"/>
      <c r="AQ270" s="1" t="n"/>
      <c r="AR270" s="1" t="n"/>
      <c r="AS270" s="1" t="n"/>
      <c r="AT270" s="1" t="n"/>
    </row>
    <row r="271" ht="14.25" customHeight="1" s="184">
      <c r="A271" s="1" t="n"/>
      <c r="B271" s="1" t="n"/>
      <c r="C271" s="1" t="n"/>
      <c r="D271" s="1" t="n"/>
      <c r="E271" s="1" t="n"/>
      <c r="F271" s="1" t="n"/>
      <c r="G271" s="1" t="n"/>
      <c r="H271" s="7" t="n"/>
      <c r="I271" s="7" t="n"/>
      <c r="J271" s="7"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c r="AL271" s="1" t="n"/>
      <c r="AM271" s="1" t="n"/>
      <c r="AN271" s="1" t="n"/>
      <c r="AO271" s="1" t="n"/>
      <c r="AP271" s="1" t="n"/>
      <c r="AQ271" s="1" t="n"/>
      <c r="AR271" s="1" t="n"/>
      <c r="AS271" s="1" t="n"/>
      <c r="AT271" s="1" t="n"/>
    </row>
    <row r="272" ht="14.25" customHeight="1" s="184">
      <c r="A272" s="1" t="n"/>
      <c r="B272" s="1" t="n"/>
      <c r="C272" s="1" t="n"/>
      <c r="D272" s="1" t="n"/>
      <c r="E272" s="1" t="n"/>
      <c r="F272" s="1" t="n"/>
      <c r="G272" s="1" t="n"/>
      <c r="H272" s="7" t="n"/>
      <c r="I272" s="7" t="n"/>
      <c r="J272" s="7"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c r="AL272" s="1" t="n"/>
      <c r="AM272" s="1" t="n"/>
      <c r="AN272" s="1" t="n"/>
      <c r="AO272" s="1" t="n"/>
      <c r="AP272" s="1" t="n"/>
      <c r="AQ272" s="1" t="n"/>
      <c r="AR272" s="1" t="n"/>
      <c r="AS272" s="1" t="n"/>
      <c r="AT272" s="1" t="n"/>
    </row>
    <row r="273" ht="14.25" customHeight="1" s="184">
      <c r="A273" s="1" t="n"/>
      <c r="B273" s="1" t="n"/>
      <c r="C273" s="1" t="n"/>
      <c r="D273" s="1" t="n"/>
      <c r="E273" s="1" t="n"/>
      <c r="F273" s="1" t="n"/>
      <c r="G273" s="1" t="n"/>
      <c r="H273" s="7" t="n"/>
      <c r="I273" s="7" t="n"/>
      <c r="J273" s="7"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c r="AL273" s="1" t="n"/>
      <c r="AM273" s="1" t="n"/>
      <c r="AN273" s="1" t="n"/>
      <c r="AO273" s="1" t="n"/>
      <c r="AP273" s="1" t="n"/>
      <c r="AQ273" s="1" t="n"/>
      <c r="AR273" s="1" t="n"/>
      <c r="AS273" s="1" t="n"/>
      <c r="AT273" s="1" t="n"/>
    </row>
    <row r="274" ht="14.25" customHeight="1" s="184">
      <c r="A274" s="1" t="n"/>
      <c r="B274" s="1" t="n"/>
      <c r="C274" s="1" t="n"/>
      <c r="D274" s="1" t="n"/>
      <c r="E274" s="1" t="n"/>
      <c r="F274" s="1" t="n"/>
      <c r="G274" s="1" t="n"/>
      <c r="H274" s="7" t="n"/>
      <c r="I274" s="7" t="n"/>
      <c r="J274" s="7"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c r="AL274" s="1" t="n"/>
      <c r="AM274" s="1" t="n"/>
      <c r="AN274" s="1" t="n"/>
      <c r="AO274" s="1" t="n"/>
      <c r="AP274" s="1" t="n"/>
      <c r="AQ274" s="1" t="n"/>
      <c r="AR274" s="1" t="n"/>
      <c r="AS274" s="1" t="n"/>
      <c r="AT274" s="1" t="n"/>
    </row>
    <row r="275" ht="14.25" customHeight="1" s="184">
      <c r="A275" s="1" t="n"/>
      <c r="B275" s="1" t="n"/>
      <c r="C275" s="1" t="n"/>
      <c r="D275" s="1" t="n"/>
      <c r="E275" s="1" t="n"/>
      <c r="F275" s="1" t="n"/>
      <c r="G275" s="1" t="n"/>
      <c r="H275" s="7" t="n"/>
      <c r="I275" s="7" t="n"/>
      <c r="J275" s="7"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c r="AL275" s="1" t="n"/>
      <c r="AM275" s="1" t="n"/>
      <c r="AN275" s="1" t="n"/>
      <c r="AO275" s="1" t="n"/>
      <c r="AP275" s="1" t="n"/>
      <c r="AQ275" s="1" t="n"/>
      <c r="AR275" s="1" t="n"/>
      <c r="AS275" s="1" t="n"/>
      <c r="AT275" s="1" t="n"/>
    </row>
    <row r="276" ht="14.25" customHeight="1" s="184">
      <c r="A276" s="1" t="n"/>
      <c r="B276" s="1" t="n"/>
      <c r="C276" s="1" t="n"/>
      <c r="D276" s="1" t="n"/>
      <c r="E276" s="1" t="n"/>
      <c r="F276" s="1" t="n"/>
      <c r="G276" s="1" t="n"/>
      <c r="H276" s="7" t="n"/>
      <c r="I276" s="7" t="n"/>
      <c r="J276" s="7"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c r="AL276" s="1" t="n"/>
      <c r="AM276" s="1" t="n"/>
      <c r="AN276" s="1" t="n"/>
      <c r="AO276" s="1" t="n"/>
      <c r="AP276" s="1" t="n"/>
      <c r="AQ276" s="1" t="n"/>
      <c r="AR276" s="1" t="n"/>
      <c r="AS276" s="1" t="n"/>
      <c r="AT276" s="1" t="n"/>
    </row>
    <row r="277" ht="14.25" customHeight="1" s="184">
      <c r="A277" s="1" t="n"/>
      <c r="B277" s="1" t="n"/>
      <c r="C277" s="1" t="n"/>
      <c r="D277" s="1" t="n"/>
      <c r="E277" s="1" t="n"/>
      <c r="F277" s="1" t="n"/>
      <c r="G277" s="1" t="n"/>
      <c r="H277" s="7" t="n"/>
      <c r="I277" s="7" t="n"/>
      <c r="J277" s="7"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c r="AL277" s="1" t="n"/>
      <c r="AM277" s="1" t="n"/>
      <c r="AN277" s="1" t="n"/>
      <c r="AO277" s="1" t="n"/>
      <c r="AP277" s="1" t="n"/>
      <c r="AQ277" s="1" t="n"/>
      <c r="AR277" s="1" t="n"/>
      <c r="AS277" s="1" t="n"/>
      <c r="AT277" s="1" t="n"/>
    </row>
    <row r="278" ht="14.25" customHeight="1" s="184">
      <c r="A278" s="1" t="n"/>
      <c r="B278" s="1" t="n"/>
      <c r="C278" s="1" t="n"/>
      <c r="D278" s="1" t="n"/>
      <c r="E278" s="1" t="n"/>
      <c r="F278" s="1" t="n"/>
      <c r="G278" s="1" t="n"/>
      <c r="H278" s="7" t="n"/>
      <c r="I278" s="7" t="n"/>
      <c r="J278" s="7"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c r="AL278" s="1" t="n"/>
      <c r="AM278" s="1" t="n"/>
      <c r="AN278" s="1" t="n"/>
      <c r="AO278" s="1" t="n"/>
      <c r="AP278" s="1" t="n"/>
      <c r="AQ278" s="1" t="n"/>
      <c r="AR278" s="1" t="n"/>
      <c r="AS278" s="1" t="n"/>
      <c r="AT278" s="1" t="n"/>
    </row>
    <row r="279" ht="14.25" customHeight="1" s="184">
      <c r="A279" s="1" t="n"/>
      <c r="B279" s="1" t="n"/>
      <c r="C279" s="1" t="n"/>
      <c r="D279" s="1" t="n"/>
      <c r="E279" s="1" t="n"/>
      <c r="F279" s="1" t="n"/>
      <c r="G279" s="1" t="n"/>
      <c r="H279" s="7" t="n"/>
      <c r="I279" s="7" t="n"/>
      <c r="J279" s="7"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c r="AL279" s="1" t="n"/>
      <c r="AM279" s="1" t="n"/>
      <c r="AN279" s="1" t="n"/>
      <c r="AO279" s="1" t="n"/>
      <c r="AP279" s="1" t="n"/>
      <c r="AQ279" s="1" t="n"/>
      <c r="AR279" s="1" t="n"/>
      <c r="AS279" s="1" t="n"/>
      <c r="AT279" s="1" t="n"/>
    </row>
    <row r="280" ht="14.25" customHeight="1" s="184">
      <c r="A280" s="1" t="n"/>
      <c r="B280" s="1" t="n"/>
      <c r="C280" s="1" t="n"/>
      <c r="D280" s="1" t="n"/>
      <c r="E280" s="1" t="n"/>
      <c r="F280" s="1" t="n"/>
      <c r="G280" s="1" t="n"/>
      <c r="H280" s="7" t="n"/>
      <c r="I280" s="7" t="n"/>
      <c r="J280" s="7"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c r="AL280" s="1" t="n"/>
      <c r="AM280" s="1" t="n"/>
      <c r="AN280" s="1" t="n"/>
      <c r="AO280" s="1" t="n"/>
      <c r="AP280" s="1" t="n"/>
      <c r="AQ280" s="1" t="n"/>
      <c r="AR280" s="1" t="n"/>
      <c r="AS280" s="1" t="n"/>
      <c r="AT280" s="1" t="n"/>
    </row>
    <row r="281" ht="14.25" customHeight="1" s="184">
      <c r="A281" s="1" t="n"/>
      <c r="B281" s="1" t="n"/>
      <c r="C281" s="1" t="n"/>
      <c r="D281" s="1" t="n"/>
      <c r="E281" s="1" t="n"/>
      <c r="F281" s="1" t="n"/>
      <c r="G281" s="1" t="n"/>
      <c r="H281" s="7" t="n"/>
      <c r="I281" s="7" t="n"/>
      <c r="J281" s="7"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c r="AL281" s="1" t="n"/>
      <c r="AM281" s="1" t="n"/>
      <c r="AN281" s="1" t="n"/>
      <c r="AO281" s="1" t="n"/>
      <c r="AP281" s="1" t="n"/>
      <c r="AQ281" s="1" t="n"/>
      <c r="AR281" s="1" t="n"/>
      <c r="AS281" s="1" t="n"/>
      <c r="AT281" s="1" t="n"/>
    </row>
    <row r="282" ht="14.25" customHeight="1" s="184">
      <c r="A282" s="1" t="n"/>
      <c r="B282" s="1" t="n"/>
      <c r="C282" s="1" t="n"/>
      <c r="D282" s="1" t="n"/>
      <c r="E282" s="1" t="n"/>
      <c r="F282" s="1" t="n"/>
      <c r="G282" s="1" t="n"/>
      <c r="H282" s="7" t="n"/>
      <c r="I282" s="7" t="n"/>
      <c r="J282" s="7"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c r="AL282" s="1" t="n"/>
      <c r="AM282" s="1" t="n"/>
      <c r="AN282" s="1" t="n"/>
      <c r="AO282" s="1" t="n"/>
      <c r="AP282" s="1" t="n"/>
      <c r="AQ282" s="1" t="n"/>
      <c r="AR282" s="1" t="n"/>
      <c r="AS282" s="1" t="n"/>
      <c r="AT282" s="1" t="n"/>
    </row>
    <row r="283" ht="14.25" customHeight="1" s="184">
      <c r="A283" s="1" t="n"/>
      <c r="B283" s="1" t="n"/>
      <c r="C283" s="1" t="n"/>
      <c r="D283" s="1" t="n"/>
      <c r="E283" s="1" t="n"/>
      <c r="F283" s="1" t="n"/>
      <c r="G283" s="1" t="n"/>
      <c r="H283" s="7" t="n"/>
      <c r="I283" s="7" t="n"/>
      <c r="J283" s="7"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c r="AL283" s="1" t="n"/>
      <c r="AM283" s="1" t="n"/>
      <c r="AN283" s="1" t="n"/>
      <c r="AO283" s="1" t="n"/>
      <c r="AP283" s="1" t="n"/>
      <c r="AQ283" s="1" t="n"/>
      <c r="AR283" s="1" t="n"/>
      <c r="AS283" s="1" t="n"/>
      <c r="AT283" s="1" t="n"/>
    </row>
    <row r="284" ht="14.25" customHeight="1" s="184">
      <c r="A284" s="1" t="n"/>
      <c r="B284" s="1" t="n"/>
      <c r="C284" s="1" t="n"/>
      <c r="D284" s="1" t="n"/>
      <c r="E284" s="1" t="n"/>
      <c r="F284" s="1" t="n"/>
      <c r="G284" s="1" t="n"/>
      <c r="H284" s="7" t="n"/>
      <c r="I284" s="7" t="n"/>
      <c r="J284" s="7"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c r="AL284" s="1" t="n"/>
      <c r="AM284" s="1" t="n"/>
      <c r="AN284" s="1" t="n"/>
      <c r="AO284" s="1" t="n"/>
      <c r="AP284" s="1" t="n"/>
      <c r="AQ284" s="1" t="n"/>
      <c r="AR284" s="1" t="n"/>
      <c r="AS284" s="1" t="n"/>
      <c r="AT284" s="1" t="n"/>
    </row>
    <row r="285" ht="14.25" customHeight="1" s="184">
      <c r="A285" s="1" t="n"/>
      <c r="B285" s="1" t="n"/>
      <c r="C285" s="1" t="n"/>
      <c r="D285" s="1" t="n"/>
      <c r="E285" s="1" t="n"/>
      <c r="F285" s="1" t="n"/>
      <c r="G285" s="1" t="n"/>
      <c r="H285" s="7" t="n"/>
      <c r="I285" s="7" t="n"/>
      <c r="J285" s="7"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c r="AL285" s="1" t="n"/>
      <c r="AM285" s="1" t="n"/>
      <c r="AN285" s="1" t="n"/>
      <c r="AO285" s="1" t="n"/>
      <c r="AP285" s="1" t="n"/>
      <c r="AQ285" s="1" t="n"/>
      <c r="AR285" s="1" t="n"/>
      <c r="AS285" s="1" t="n"/>
      <c r="AT285" s="1" t="n"/>
    </row>
    <row r="286" ht="14.25" customHeight="1" s="184">
      <c r="A286" s="1" t="n"/>
      <c r="B286" s="1" t="n"/>
      <c r="C286" s="1" t="n"/>
      <c r="D286" s="1" t="n"/>
      <c r="E286" s="1" t="n"/>
      <c r="F286" s="1" t="n"/>
      <c r="G286" s="1" t="n"/>
      <c r="H286" s="7" t="n"/>
      <c r="I286" s="7" t="n"/>
      <c r="J286" s="7"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c r="AL286" s="1" t="n"/>
      <c r="AM286" s="1" t="n"/>
      <c r="AN286" s="1" t="n"/>
      <c r="AO286" s="1" t="n"/>
      <c r="AP286" s="1" t="n"/>
      <c r="AQ286" s="1" t="n"/>
      <c r="AR286" s="1" t="n"/>
      <c r="AS286" s="1" t="n"/>
      <c r="AT286" s="1" t="n"/>
    </row>
    <row r="287" ht="14.25" customHeight="1" s="184">
      <c r="A287" s="1" t="n"/>
      <c r="B287" s="1" t="n"/>
      <c r="C287" s="1" t="n"/>
      <c r="D287" s="1" t="n"/>
      <c r="E287" s="1" t="n"/>
      <c r="F287" s="1" t="n"/>
      <c r="G287" s="1" t="n"/>
      <c r="H287" s="7" t="n"/>
      <c r="I287" s="7" t="n"/>
      <c r="J287" s="7"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c r="AL287" s="1" t="n"/>
      <c r="AM287" s="1" t="n"/>
      <c r="AN287" s="1" t="n"/>
      <c r="AO287" s="1" t="n"/>
      <c r="AP287" s="1" t="n"/>
      <c r="AQ287" s="1" t="n"/>
      <c r="AR287" s="1" t="n"/>
      <c r="AS287" s="1" t="n"/>
      <c r="AT287" s="1" t="n"/>
    </row>
    <row r="288" ht="14.25" customHeight="1" s="184">
      <c r="A288" s="1" t="n"/>
      <c r="B288" s="1" t="n"/>
      <c r="C288" s="1" t="n"/>
      <c r="D288" s="1" t="n"/>
      <c r="E288" s="1" t="n"/>
      <c r="F288" s="1" t="n"/>
      <c r="G288" s="1" t="n"/>
      <c r="H288" s="7" t="n"/>
      <c r="I288" s="7" t="n"/>
      <c r="J288" s="7"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c r="AL288" s="1" t="n"/>
      <c r="AM288" s="1" t="n"/>
      <c r="AN288" s="1" t="n"/>
      <c r="AO288" s="1" t="n"/>
      <c r="AP288" s="1" t="n"/>
      <c r="AQ288" s="1" t="n"/>
      <c r="AR288" s="1" t="n"/>
      <c r="AS288" s="1" t="n"/>
      <c r="AT288" s="1" t="n"/>
    </row>
    <row r="289" ht="14.25" customHeight="1" s="184">
      <c r="A289" s="1" t="n"/>
      <c r="B289" s="1" t="n"/>
      <c r="C289" s="1" t="n"/>
      <c r="D289" s="1" t="n"/>
      <c r="E289" s="1" t="n"/>
      <c r="F289" s="1" t="n"/>
      <c r="G289" s="1" t="n"/>
      <c r="H289" s="7" t="n"/>
      <c r="I289" s="7" t="n"/>
      <c r="J289" s="7"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c r="AL289" s="1" t="n"/>
      <c r="AM289" s="1" t="n"/>
      <c r="AN289" s="1" t="n"/>
      <c r="AO289" s="1" t="n"/>
      <c r="AP289" s="1" t="n"/>
      <c r="AQ289" s="1" t="n"/>
      <c r="AR289" s="1" t="n"/>
      <c r="AS289" s="1" t="n"/>
      <c r="AT289" s="1" t="n"/>
    </row>
    <row r="290" ht="14.25" customHeight="1" s="184">
      <c r="A290" s="1" t="n"/>
      <c r="B290" s="1" t="n"/>
      <c r="C290" s="1" t="n"/>
      <c r="D290" s="1" t="n"/>
      <c r="E290" s="1" t="n"/>
      <c r="F290" s="1" t="n"/>
      <c r="G290" s="1" t="n"/>
      <c r="H290" s="7" t="n"/>
      <c r="I290" s="7" t="n"/>
      <c r="J290" s="7"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c r="AL290" s="1" t="n"/>
      <c r="AM290" s="1" t="n"/>
      <c r="AN290" s="1" t="n"/>
      <c r="AO290" s="1" t="n"/>
      <c r="AP290" s="1" t="n"/>
      <c r="AQ290" s="1" t="n"/>
      <c r="AR290" s="1" t="n"/>
      <c r="AS290" s="1" t="n"/>
      <c r="AT290" s="1" t="n"/>
    </row>
    <row r="291" ht="14.25" customHeight="1" s="184">
      <c r="A291" s="1" t="n"/>
      <c r="B291" s="1" t="n"/>
      <c r="C291" s="1" t="n"/>
      <c r="D291" s="1" t="n"/>
      <c r="E291" s="1" t="n"/>
      <c r="F291" s="1" t="n"/>
      <c r="G291" s="1" t="n"/>
      <c r="H291" s="7" t="n"/>
      <c r="I291" s="7" t="n"/>
      <c r="J291" s="7"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c r="AL291" s="1" t="n"/>
      <c r="AM291" s="1" t="n"/>
      <c r="AN291" s="1" t="n"/>
      <c r="AO291" s="1" t="n"/>
      <c r="AP291" s="1" t="n"/>
      <c r="AQ291" s="1" t="n"/>
      <c r="AR291" s="1" t="n"/>
      <c r="AS291" s="1" t="n"/>
      <c r="AT291" s="1" t="n"/>
    </row>
    <row r="292" ht="14.25" customHeight="1" s="184">
      <c r="A292" s="1" t="n"/>
      <c r="B292" s="1" t="n"/>
      <c r="C292" s="1" t="n"/>
      <c r="D292" s="1" t="n"/>
      <c r="E292" s="1" t="n"/>
      <c r="F292" s="1" t="n"/>
      <c r="G292" s="1" t="n"/>
      <c r="H292" s="7" t="n"/>
      <c r="I292" s="7" t="n"/>
      <c r="J292" s="7"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c r="AL292" s="1" t="n"/>
      <c r="AM292" s="1" t="n"/>
      <c r="AN292" s="1" t="n"/>
      <c r="AO292" s="1" t="n"/>
      <c r="AP292" s="1" t="n"/>
      <c r="AQ292" s="1" t="n"/>
      <c r="AR292" s="1" t="n"/>
      <c r="AS292" s="1" t="n"/>
      <c r="AT292" s="1" t="n"/>
    </row>
    <row r="293" ht="14.25" customHeight="1" s="184">
      <c r="A293" s="1" t="n"/>
      <c r="B293" s="1" t="n"/>
      <c r="C293" s="1" t="n"/>
      <c r="D293" s="1" t="n"/>
      <c r="E293" s="1" t="n"/>
      <c r="F293" s="1" t="n"/>
      <c r="G293" s="1" t="n"/>
      <c r="H293" s="7" t="n"/>
      <c r="I293" s="7" t="n"/>
      <c r="J293" s="7"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c r="AL293" s="1" t="n"/>
      <c r="AM293" s="1" t="n"/>
      <c r="AN293" s="1" t="n"/>
      <c r="AO293" s="1" t="n"/>
      <c r="AP293" s="1" t="n"/>
      <c r="AQ293" s="1" t="n"/>
      <c r="AR293" s="1" t="n"/>
      <c r="AS293" s="1" t="n"/>
      <c r="AT293" s="1" t="n"/>
    </row>
    <row r="294" ht="14.25" customHeight="1" s="184">
      <c r="A294" s="1" t="n"/>
      <c r="B294" s="1" t="n"/>
      <c r="C294" s="1" t="n"/>
      <c r="D294" s="1" t="n"/>
      <c r="E294" s="1" t="n"/>
      <c r="F294" s="1" t="n"/>
      <c r="G294" s="1" t="n"/>
      <c r="H294" s="7" t="n"/>
      <c r="I294" s="7" t="n"/>
      <c r="J294" s="7"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c r="AL294" s="1" t="n"/>
      <c r="AM294" s="1" t="n"/>
      <c r="AN294" s="1" t="n"/>
      <c r="AO294" s="1" t="n"/>
      <c r="AP294" s="1" t="n"/>
      <c r="AQ294" s="1" t="n"/>
      <c r="AR294" s="1" t="n"/>
      <c r="AS294" s="1" t="n"/>
      <c r="AT294" s="1" t="n"/>
    </row>
    <row r="295" ht="14.25" customHeight="1" s="184">
      <c r="A295" s="1" t="n"/>
      <c r="B295" s="1" t="n"/>
      <c r="C295" s="1" t="n"/>
      <c r="D295" s="1" t="n"/>
      <c r="E295" s="1" t="n"/>
      <c r="F295" s="1" t="n"/>
      <c r="G295" s="1" t="n"/>
      <c r="H295" s="7" t="n"/>
      <c r="I295" s="7" t="n"/>
      <c r="J295" s="7"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c r="AL295" s="1" t="n"/>
      <c r="AM295" s="1" t="n"/>
      <c r="AN295" s="1" t="n"/>
      <c r="AO295" s="1" t="n"/>
      <c r="AP295" s="1" t="n"/>
      <c r="AQ295" s="1" t="n"/>
      <c r="AR295" s="1" t="n"/>
      <c r="AS295" s="1" t="n"/>
      <c r="AT295" s="1" t="n"/>
    </row>
    <row r="296" ht="14.25" customHeight="1" s="184">
      <c r="A296" s="1" t="n"/>
      <c r="B296" s="1" t="n"/>
      <c r="C296" s="1" t="n"/>
      <c r="D296" s="1" t="n"/>
      <c r="E296" s="1" t="n"/>
      <c r="F296" s="1" t="n"/>
      <c r="G296" s="1" t="n"/>
      <c r="H296" s="7" t="n"/>
      <c r="I296" s="7" t="n"/>
      <c r="J296" s="7"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c r="AL296" s="1" t="n"/>
      <c r="AM296" s="1" t="n"/>
      <c r="AN296" s="1" t="n"/>
      <c r="AO296" s="1" t="n"/>
      <c r="AP296" s="1" t="n"/>
      <c r="AQ296" s="1" t="n"/>
      <c r="AR296" s="1" t="n"/>
      <c r="AS296" s="1" t="n"/>
      <c r="AT296" s="1" t="n"/>
    </row>
    <row r="297" ht="14.25" customHeight="1" s="184">
      <c r="A297" s="1" t="n"/>
      <c r="B297" s="1" t="n"/>
      <c r="C297" s="1" t="n"/>
      <c r="D297" s="1" t="n"/>
      <c r="E297" s="1" t="n"/>
      <c r="F297" s="1" t="n"/>
      <c r="G297" s="1" t="n"/>
      <c r="H297" s="7" t="n"/>
      <c r="I297" s="7" t="n"/>
      <c r="J297" s="7"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c r="AL297" s="1" t="n"/>
      <c r="AM297" s="1" t="n"/>
      <c r="AN297" s="1" t="n"/>
      <c r="AO297" s="1" t="n"/>
      <c r="AP297" s="1" t="n"/>
      <c r="AQ297" s="1" t="n"/>
      <c r="AR297" s="1" t="n"/>
      <c r="AS297" s="1" t="n"/>
      <c r="AT297" s="1" t="n"/>
    </row>
    <row r="298" ht="14.25" customHeight="1" s="184">
      <c r="A298" s="1" t="n"/>
      <c r="B298" s="1" t="n"/>
      <c r="C298" s="1" t="n"/>
      <c r="D298" s="1" t="n"/>
      <c r="E298" s="1" t="n"/>
      <c r="F298" s="1" t="n"/>
      <c r="G298" s="1" t="n"/>
      <c r="H298" s="7" t="n"/>
      <c r="I298" s="7" t="n"/>
      <c r="J298" s="7"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c r="AL298" s="1" t="n"/>
      <c r="AM298" s="1" t="n"/>
      <c r="AN298" s="1" t="n"/>
      <c r="AO298" s="1" t="n"/>
      <c r="AP298" s="1" t="n"/>
      <c r="AQ298" s="1" t="n"/>
      <c r="AR298" s="1" t="n"/>
      <c r="AS298" s="1" t="n"/>
      <c r="AT298" s="1" t="n"/>
    </row>
    <row r="299" ht="14.25" customHeight="1" s="184">
      <c r="A299" s="1" t="n"/>
      <c r="B299" s="1" t="n"/>
      <c r="C299" s="1" t="n"/>
      <c r="D299" s="1" t="n"/>
      <c r="E299" s="1" t="n"/>
      <c r="F299" s="1" t="n"/>
      <c r="G299" s="1" t="n"/>
      <c r="H299" s="7" t="n"/>
      <c r="I299" s="7" t="n"/>
      <c r="J299" s="7"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c r="AL299" s="1" t="n"/>
      <c r="AM299" s="1" t="n"/>
      <c r="AN299" s="1" t="n"/>
      <c r="AO299" s="1" t="n"/>
      <c r="AP299" s="1" t="n"/>
      <c r="AQ299" s="1" t="n"/>
      <c r="AR299" s="1" t="n"/>
      <c r="AS299" s="1" t="n"/>
      <c r="AT299" s="1" t="n"/>
    </row>
    <row r="300" ht="14.25" customHeight="1" s="184">
      <c r="A300" s="1" t="n"/>
      <c r="B300" s="1" t="n"/>
      <c r="C300" s="1" t="n"/>
      <c r="D300" s="1" t="n"/>
      <c r="E300" s="1" t="n"/>
      <c r="F300" s="1" t="n"/>
      <c r="G300" s="1" t="n"/>
      <c r="H300" s="7" t="n"/>
      <c r="I300" s="7" t="n"/>
      <c r="J300" s="7"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c r="AL300" s="1" t="n"/>
      <c r="AM300" s="1" t="n"/>
      <c r="AN300" s="1" t="n"/>
      <c r="AO300" s="1" t="n"/>
      <c r="AP300" s="1" t="n"/>
      <c r="AQ300" s="1" t="n"/>
      <c r="AR300" s="1" t="n"/>
      <c r="AS300" s="1" t="n"/>
      <c r="AT300" s="1" t="n"/>
    </row>
    <row r="301" ht="14.25" customHeight="1" s="184">
      <c r="A301" s="1" t="n"/>
      <c r="B301" s="1" t="n"/>
      <c r="C301" s="1" t="n"/>
      <c r="D301" s="1" t="n"/>
      <c r="E301" s="1" t="n"/>
      <c r="F301" s="1" t="n"/>
      <c r="G301" s="1" t="n"/>
      <c r="H301" s="7" t="n"/>
      <c r="I301" s="7" t="n"/>
      <c r="J301" s="7"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c r="AL301" s="1" t="n"/>
      <c r="AM301" s="1" t="n"/>
      <c r="AN301" s="1" t="n"/>
      <c r="AO301" s="1" t="n"/>
      <c r="AP301" s="1" t="n"/>
      <c r="AQ301" s="1" t="n"/>
      <c r="AR301" s="1" t="n"/>
      <c r="AS301" s="1" t="n"/>
      <c r="AT301" s="1" t="n"/>
    </row>
    <row r="302" ht="15.75" customHeight="1" s="184">
      <c r="H302" s="33" t="n"/>
      <c r="I302" s="33" t="n"/>
      <c r="J302" s="33" t="n"/>
    </row>
    <row r="303" ht="15.75" customHeight="1" s="184">
      <c r="H303" s="33" t="n"/>
      <c r="I303" s="33" t="n"/>
      <c r="J303" s="33" t="n"/>
    </row>
    <row r="304" ht="15.75" customHeight="1" s="184">
      <c r="H304" s="33" t="n"/>
      <c r="I304" s="33" t="n"/>
      <c r="J304" s="33" t="n"/>
    </row>
    <row r="305" ht="15.75" customHeight="1" s="184">
      <c r="H305" s="33" t="n"/>
      <c r="I305" s="33" t="n"/>
      <c r="J305" s="33" t="n"/>
    </row>
    <row r="306" ht="15.75" customHeight="1" s="184">
      <c r="H306" s="33" t="n"/>
      <c r="I306" s="33" t="n"/>
      <c r="J306" s="33" t="n"/>
    </row>
    <row r="307" ht="15.75" customHeight="1" s="184">
      <c r="H307" s="33" t="n"/>
      <c r="I307" s="33" t="n"/>
      <c r="J307" s="33" t="n"/>
    </row>
    <row r="308" ht="15.75" customHeight="1" s="184">
      <c r="H308" s="33" t="n"/>
      <c r="I308" s="33" t="n"/>
      <c r="J308" s="33" t="n"/>
    </row>
    <row r="309" ht="15.75" customHeight="1" s="184">
      <c r="H309" s="33" t="n"/>
      <c r="I309" s="33" t="n"/>
      <c r="J309" s="33" t="n"/>
    </row>
    <row r="310" ht="15.75" customHeight="1" s="184">
      <c r="H310" s="33" t="n"/>
      <c r="I310" s="33" t="n"/>
      <c r="J310" s="33" t="n"/>
    </row>
    <row r="311" ht="15.75" customHeight="1" s="184">
      <c r="H311" s="33" t="n"/>
      <c r="I311" s="33" t="n"/>
      <c r="J311" s="33" t="n"/>
    </row>
    <row r="312" ht="15.75" customHeight="1" s="184">
      <c r="H312" s="33" t="n"/>
      <c r="I312" s="33" t="n"/>
      <c r="J312" s="33" t="n"/>
    </row>
    <row r="313" ht="15.75" customHeight="1" s="184">
      <c r="H313" s="33" t="n"/>
      <c r="I313" s="33" t="n"/>
      <c r="J313" s="33" t="n"/>
    </row>
    <row r="314" ht="15.75" customHeight="1" s="184">
      <c r="H314" s="33" t="n"/>
      <c r="I314" s="33" t="n"/>
      <c r="J314" s="33" t="n"/>
    </row>
    <row r="315" ht="15.75" customHeight="1" s="184">
      <c r="H315" s="33" t="n"/>
      <c r="I315" s="33" t="n"/>
      <c r="J315" s="33" t="n"/>
    </row>
    <row r="316" ht="15.75" customHeight="1" s="184">
      <c r="H316" s="33" t="n"/>
      <c r="I316" s="33" t="n"/>
      <c r="J316" s="33" t="n"/>
    </row>
    <row r="317" ht="15.75" customHeight="1" s="184">
      <c r="H317" s="33" t="n"/>
      <c r="I317" s="33" t="n"/>
      <c r="J317" s="33" t="n"/>
    </row>
    <row r="318" ht="15.75" customHeight="1" s="184">
      <c r="H318" s="33" t="n"/>
      <c r="I318" s="33" t="n"/>
      <c r="J318" s="33" t="n"/>
    </row>
    <row r="319" ht="15.75" customHeight="1" s="184">
      <c r="H319" s="33" t="n"/>
      <c r="I319" s="33" t="n"/>
      <c r="J319" s="33" t="n"/>
    </row>
    <row r="320" ht="15.75" customHeight="1" s="184">
      <c r="H320" s="33" t="n"/>
      <c r="I320" s="33" t="n"/>
      <c r="J320" s="33" t="n"/>
    </row>
    <row r="321" ht="15.75" customHeight="1" s="184">
      <c r="H321" s="33" t="n"/>
      <c r="I321" s="33" t="n"/>
      <c r="J321" s="33" t="n"/>
    </row>
    <row r="322" ht="15.75" customHeight="1" s="184">
      <c r="H322" s="33" t="n"/>
      <c r="I322" s="33" t="n"/>
      <c r="J322" s="33" t="n"/>
    </row>
    <row r="323" ht="15.75" customHeight="1" s="184">
      <c r="H323" s="33" t="n"/>
      <c r="I323" s="33" t="n"/>
      <c r="J323" s="33" t="n"/>
    </row>
    <row r="324" ht="15.75" customHeight="1" s="184">
      <c r="H324" s="33" t="n"/>
      <c r="I324" s="33" t="n"/>
      <c r="J324" s="33" t="n"/>
    </row>
    <row r="325" ht="15.75" customHeight="1" s="184">
      <c r="H325" s="33" t="n"/>
      <c r="I325" s="33" t="n"/>
      <c r="J325" s="33" t="n"/>
    </row>
    <row r="326" ht="15.75" customHeight="1" s="184">
      <c r="H326" s="33" t="n"/>
      <c r="I326" s="33" t="n"/>
      <c r="J326" s="33" t="n"/>
    </row>
    <row r="327" ht="15.75" customHeight="1" s="184">
      <c r="H327" s="33" t="n"/>
      <c r="I327" s="33" t="n"/>
      <c r="J327" s="33" t="n"/>
    </row>
    <row r="328" ht="15.75" customHeight="1" s="184">
      <c r="H328" s="33" t="n"/>
      <c r="I328" s="33" t="n"/>
      <c r="J328" s="33" t="n"/>
    </row>
    <row r="329" ht="15.75" customHeight="1" s="184">
      <c r="H329" s="33" t="n"/>
      <c r="I329" s="33" t="n"/>
      <c r="J329" s="33" t="n"/>
    </row>
    <row r="330" ht="15.75" customHeight="1" s="184">
      <c r="H330" s="33" t="n"/>
      <c r="I330" s="33" t="n"/>
      <c r="J330" s="33" t="n"/>
    </row>
    <row r="331" ht="15.75" customHeight="1" s="184">
      <c r="H331" s="33" t="n"/>
      <c r="I331" s="33" t="n"/>
      <c r="J331" s="33" t="n"/>
    </row>
    <row r="332" ht="15.75" customHeight="1" s="184">
      <c r="H332" s="33" t="n"/>
      <c r="I332" s="33" t="n"/>
      <c r="J332" s="33" t="n"/>
    </row>
    <row r="333" ht="15.75" customHeight="1" s="184">
      <c r="H333" s="33" t="n"/>
      <c r="I333" s="33" t="n"/>
      <c r="J333" s="33" t="n"/>
    </row>
    <row r="334" ht="15.75" customHeight="1" s="184">
      <c r="H334" s="33" t="n"/>
      <c r="I334" s="33" t="n"/>
      <c r="J334" s="33" t="n"/>
    </row>
    <row r="335" ht="15.75" customHeight="1" s="184">
      <c r="H335" s="33" t="n"/>
      <c r="I335" s="33" t="n"/>
      <c r="J335" s="33" t="n"/>
    </row>
    <row r="336" ht="15.75" customHeight="1" s="184">
      <c r="H336" s="33" t="n"/>
      <c r="I336" s="33" t="n"/>
      <c r="J336" s="33" t="n"/>
    </row>
    <row r="337" ht="15.75" customHeight="1" s="184">
      <c r="H337" s="33" t="n"/>
      <c r="I337" s="33" t="n"/>
      <c r="J337" s="33" t="n"/>
    </row>
    <row r="338" ht="15.75" customHeight="1" s="184">
      <c r="H338" s="33" t="n"/>
      <c r="I338" s="33" t="n"/>
      <c r="J338" s="33" t="n"/>
    </row>
    <row r="339" ht="15.75" customHeight="1" s="184">
      <c r="H339" s="33" t="n"/>
      <c r="I339" s="33" t="n"/>
      <c r="J339" s="33" t="n"/>
    </row>
    <row r="340" ht="15.75" customHeight="1" s="184">
      <c r="H340" s="33" t="n"/>
      <c r="I340" s="33" t="n"/>
      <c r="J340" s="33" t="n"/>
    </row>
    <row r="341" ht="15.75" customHeight="1" s="184">
      <c r="H341" s="33" t="n"/>
      <c r="I341" s="33" t="n"/>
      <c r="J341" s="33" t="n"/>
    </row>
    <row r="342" ht="15.75" customHeight="1" s="184">
      <c r="H342" s="33" t="n"/>
      <c r="I342" s="33" t="n"/>
      <c r="J342" s="33" t="n"/>
    </row>
    <row r="343" ht="15.75" customHeight="1" s="184">
      <c r="H343" s="33" t="n"/>
      <c r="I343" s="33" t="n"/>
      <c r="J343" s="33" t="n"/>
    </row>
    <row r="344" ht="15.75" customHeight="1" s="184">
      <c r="H344" s="33" t="n"/>
      <c r="I344" s="33" t="n"/>
      <c r="J344" s="33" t="n"/>
    </row>
    <row r="345" ht="15.75" customHeight="1" s="184">
      <c r="H345" s="33" t="n"/>
      <c r="I345" s="33" t="n"/>
      <c r="J345" s="33" t="n"/>
    </row>
    <row r="346" ht="15.75" customHeight="1" s="184">
      <c r="H346" s="33" t="n"/>
      <c r="I346" s="33" t="n"/>
      <c r="J346" s="33" t="n"/>
    </row>
    <row r="347" ht="15.75" customHeight="1" s="184">
      <c r="H347" s="33" t="n"/>
      <c r="I347" s="33" t="n"/>
      <c r="J347" s="33" t="n"/>
    </row>
    <row r="348" ht="15.75" customHeight="1" s="184">
      <c r="H348" s="33" t="n"/>
      <c r="I348" s="33" t="n"/>
      <c r="J348" s="33" t="n"/>
    </row>
    <row r="349" ht="15.75" customHeight="1" s="184">
      <c r="H349" s="33" t="n"/>
      <c r="I349" s="33" t="n"/>
      <c r="J349" s="33" t="n"/>
    </row>
    <row r="350" ht="15.75" customHeight="1" s="184">
      <c r="H350" s="33" t="n"/>
      <c r="I350" s="33" t="n"/>
      <c r="J350" s="33" t="n"/>
    </row>
    <row r="351" ht="15.75" customHeight="1" s="184">
      <c r="H351" s="33" t="n"/>
      <c r="I351" s="33" t="n"/>
      <c r="J351" s="33" t="n"/>
    </row>
    <row r="352" ht="15.75" customHeight="1" s="184">
      <c r="H352" s="33" t="n"/>
      <c r="I352" s="33" t="n"/>
      <c r="J352" s="33" t="n"/>
    </row>
    <row r="353" ht="15.75" customHeight="1" s="184">
      <c r="H353" s="33" t="n"/>
      <c r="I353" s="33" t="n"/>
      <c r="J353" s="33" t="n"/>
    </row>
    <row r="354" ht="15.75" customHeight="1" s="184">
      <c r="H354" s="33" t="n"/>
      <c r="I354" s="33" t="n"/>
      <c r="J354" s="33" t="n"/>
    </row>
    <row r="355" ht="15.75" customHeight="1" s="184">
      <c r="H355" s="33" t="n"/>
      <c r="I355" s="33" t="n"/>
      <c r="J355" s="33" t="n"/>
    </row>
    <row r="356" ht="15.75" customHeight="1" s="184">
      <c r="H356" s="33" t="n"/>
      <c r="I356" s="33" t="n"/>
      <c r="J356" s="33" t="n"/>
    </row>
    <row r="357" ht="15.75" customHeight="1" s="184">
      <c r="H357" s="33" t="n"/>
      <c r="I357" s="33" t="n"/>
      <c r="J357" s="33" t="n"/>
    </row>
    <row r="358" ht="15.75" customHeight="1" s="184">
      <c r="H358" s="33" t="n"/>
      <c r="I358" s="33" t="n"/>
      <c r="J358" s="33" t="n"/>
    </row>
    <row r="359" ht="15.75" customHeight="1" s="184">
      <c r="H359" s="33" t="n"/>
      <c r="I359" s="33" t="n"/>
      <c r="J359" s="33" t="n"/>
    </row>
    <row r="360" ht="15.75" customHeight="1" s="184">
      <c r="H360" s="33" t="n"/>
      <c r="I360" s="33" t="n"/>
      <c r="J360" s="33" t="n"/>
    </row>
    <row r="361" ht="15.75" customHeight="1" s="184">
      <c r="H361" s="33" t="n"/>
      <c r="I361" s="33" t="n"/>
      <c r="J361" s="33" t="n"/>
    </row>
    <row r="362" ht="15.75" customHeight="1" s="184">
      <c r="H362" s="33" t="n"/>
      <c r="I362" s="33" t="n"/>
      <c r="J362" s="33" t="n"/>
    </row>
    <row r="363" ht="15.75" customHeight="1" s="184">
      <c r="H363" s="33" t="n"/>
      <c r="I363" s="33" t="n"/>
      <c r="J363" s="33" t="n"/>
    </row>
    <row r="364" ht="15.75" customHeight="1" s="184">
      <c r="H364" s="33" t="n"/>
      <c r="I364" s="33" t="n"/>
      <c r="J364" s="33" t="n"/>
    </row>
    <row r="365" ht="15.75" customHeight="1" s="184">
      <c r="H365" s="33" t="n"/>
      <c r="I365" s="33" t="n"/>
      <c r="J365" s="33" t="n"/>
    </row>
    <row r="366" ht="15.75" customHeight="1" s="184">
      <c r="H366" s="33" t="n"/>
      <c r="I366" s="33" t="n"/>
      <c r="J366" s="33" t="n"/>
    </row>
    <row r="367" ht="15.75" customHeight="1" s="184">
      <c r="H367" s="33" t="n"/>
      <c r="I367" s="33" t="n"/>
      <c r="J367" s="33" t="n"/>
    </row>
    <row r="368" ht="15.75" customHeight="1" s="184">
      <c r="H368" s="33" t="n"/>
      <c r="I368" s="33" t="n"/>
      <c r="J368" s="33" t="n"/>
    </row>
    <row r="369" ht="15.75" customHeight="1" s="184">
      <c r="H369" s="33" t="n"/>
      <c r="I369" s="33" t="n"/>
      <c r="J369" s="33" t="n"/>
    </row>
    <row r="370" ht="15.75" customHeight="1" s="184">
      <c r="H370" s="33" t="n"/>
      <c r="I370" s="33" t="n"/>
      <c r="J370" s="33" t="n"/>
    </row>
    <row r="371" ht="15.75" customHeight="1" s="184">
      <c r="H371" s="33" t="n"/>
      <c r="I371" s="33" t="n"/>
      <c r="J371" s="33" t="n"/>
    </row>
    <row r="372" ht="15.75" customHeight="1" s="184">
      <c r="H372" s="33" t="n"/>
      <c r="I372" s="33" t="n"/>
      <c r="J372" s="33" t="n"/>
    </row>
    <row r="373" ht="15.75" customHeight="1" s="184">
      <c r="H373" s="33" t="n"/>
      <c r="I373" s="33" t="n"/>
      <c r="J373" s="33" t="n"/>
    </row>
    <row r="374" ht="15.75" customHeight="1" s="184">
      <c r="H374" s="33" t="n"/>
      <c r="I374" s="33" t="n"/>
      <c r="J374" s="33" t="n"/>
    </row>
    <row r="375" ht="15.75" customHeight="1" s="184">
      <c r="H375" s="33" t="n"/>
      <c r="I375" s="33" t="n"/>
      <c r="J375" s="33" t="n"/>
    </row>
    <row r="376" ht="15.75" customHeight="1" s="184">
      <c r="H376" s="33" t="n"/>
      <c r="I376" s="33" t="n"/>
      <c r="J376" s="33" t="n"/>
    </row>
    <row r="377" ht="15.75" customHeight="1" s="184">
      <c r="H377" s="33" t="n"/>
      <c r="I377" s="33" t="n"/>
      <c r="J377" s="33" t="n"/>
    </row>
    <row r="378" ht="15.75" customHeight="1" s="184">
      <c r="H378" s="33" t="n"/>
      <c r="I378" s="33" t="n"/>
      <c r="J378" s="33" t="n"/>
    </row>
    <row r="379" ht="15.75" customHeight="1" s="184">
      <c r="H379" s="33" t="n"/>
      <c r="I379" s="33" t="n"/>
      <c r="J379" s="33" t="n"/>
    </row>
    <row r="380" ht="15.75" customHeight="1" s="184">
      <c r="H380" s="33" t="n"/>
      <c r="I380" s="33" t="n"/>
      <c r="J380" s="33" t="n"/>
    </row>
    <row r="381" ht="15.75" customHeight="1" s="184">
      <c r="H381" s="33" t="n"/>
      <c r="I381" s="33" t="n"/>
      <c r="J381" s="33" t="n"/>
    </row>
    <row r="382" ht="15.75" customHeight="1" s="184">
      <c r="H382" s="33" t="n"/>
      <c r="I382" s="33" t="n"/>
      <c r="J382" s="33" t="n"/>
    </row>
    <row r="383" ht="15.75" customHeight="1" s="184">
      <c r="H383" s="33" t="n"/>
      <c r="I383" s="33" t="n"/>
      <c r="J383" s="33" t="n"/>
    </row>
    <row r="384" ht="15.75" customHeight="1" s="184">
      <c r="H384" s="33" t="n"/>
      <c r="I384" s="33" t="n"/>
      <c r="J384" s="33" t="n"/>
    </row>
    <row r="385" ht="15.75" customHeight="1" s="184">
      <c r="H385" s="33" t="n"/>
      <c r="I385" s="33" t="n"/>
      <c r="J385" s="33" t="n"/>
    </row>
    <row r="386" ht="15.75" customHeight="1" s="184">
      <c r="H386" s="33" t="n"/>
      <c r="I386" s="33" t="n"/>
      <c r="J386" s="33" t="n"/>
    </row>
    <row r="387" ht="15.75" customHeight="1" s="184">
      <c r="H387" s="33" t="n"/>
      <c r="I387" s="33" t="n"/>
      <c r="J387" s="33" t="n"/>
    </row>
    <row r="388" ht="15.75" customHeight="1" s="184">
      <c r="H388" s="33" t="n"/>
      <c r="I388" s="33" t="n"/>
      <c r="J388" s="33" t="n"/>
    </row>
    <row r="389" ht="15.75" customHeight="1" s="184">
      <c r="H389" s="33" t="n"/>
      <c r="I389" s="33" t="n"/>
      <c r="J389" s="33" t="n"/>
    </row>
    <row r="390" ht="15.75" customHeight="1" s="184">
      <c r="H390" s="33" t="n"/>
      <c r="I390" s="33" t="n"/>
      <c r="J390" s="33" t="n"/>
    </row>
    <row r="391" ht="15.75" customHeight="1" s="184">
      <c r="H391" s="33" t="n"/>
      <c r="I391" s="33" t="n"/>
      <c r="J391" s="33" t="n"/>
    </row>
    <row r="392" ht="15.75" customHeight="1" s="184">
      <c r="H392" s="33" t="n"/>
      <c r="I392" s="33" t="n"/>
      <c r="J392" s="33" t="n"/>
    </row>
    <row r="393" ht="15.75" customHeight="1" s="184">
      <c r="H393" s="33" t="n"/>
      <c r="I393" s="33" t="n"/>
      <c r="J393" s="33" t="n"/>
    </row>
    <row r="394" ht="15.75" customHeight="1" s="184">
      <c r="H394" s="33" t="n"/>
      <c r="I394" s="33" t="n"/>
      <c r="J394" s="33" t="n"/>
    </row>
    <row r="395" ht="15.75" customHeight="1" s="184">
      <c r="H395" s="33" t="n"/>
      <c r="I395" s="33" t="n"/>
      <c r="J395" s="33" t="n"/>
    </row>
    <row r="396" ht="15.75" customHeight="1" s="184">
      <c r="H396" s="33" t="n"/>
      <c r="I396" s="33" t="n"/>
      <c r="J396" s="33" t="n"/>
    </row>
    <row r="397" ht="15.75" customHeight="1" s="184">
      <c r="H397" s="33" t="n"/>
      <c r="I397" s="33" t="n"/>
      <c r="J397" s="33" t="n"/>
    </row>
    <row r="398" ht="15.75" customHeight="1" s="184">
      <c r="H398" s="33" t="n"/>
      <c r="I398" s="33" t="n"/>
      <c r="J398" s="33" t="n"/>
    </row>
    <row r="399" ht="15.75" customHeight="1" s="184">
      <c r="H399" s="33" t="n"/>
      <c r="I399" s="33" t="n"/>
      <c r="J399" s="33" t="n"/>
    </row>
    <row r="400" ht="15.75" customHeight="1" s="184">
      <c r="H400" s="33" t="n"/>
      <c r="I400" s="33" t="n"/>
      <c r="J400" s="33" t="n"/>
    </row>
    <row r="401" ht="15.75" customHeight="1" s="184">
      <c r="H401" s="33" t="n"/>
      <c r="I401" s="33" t="n"/>
      <c r="J401" s="33" t="n"/>
    </row>
    <row r="402" ht="15.75" customHeight="1" s="184">
      <c r="H402" s="33" t="n"/>
      <c r="I402" s="33" t="n"/>
      <c r="J402" s="33" t="n"/>
    </row>
    <row r="403" ht="15.75" customHeight="1" s="184">
      <c r="H403" s="33" t="n"/>
      <c r="I403" s="33" t="n"/>
      <c r="J403" s="33" t="n"/>
    </row>
    <row r="404" ht="15.75" customHeight="1" s="184">
      <c r="H404" s="33" t="n"/>
      <c r="I404" s="33" t="n"/>
      <c r="J404" s="33" t="n"/>
    </row>
    <row r="405" ht="15.75" customHeight="1" s="184">
      <c r="H405" s="33" t="n"/>
      <c r="I405" s="33" t="n"/>
      <c r="J405" s="33" t="n"/>
    </row>
    <row r="406" ht="15.75" customHeight="1" s="184">
      <c r="H406" s="33" t="n"/>
      <c r="I406" s="33" t="n"/>
      <c r="J406" s="33" t="n"/>
    </row>
    <row r="407" ht="15.75" customHeight="1" s="184">
      <c r="H407" s="33" t="n"/>
      <c r="I407" s="33" t="n"/>
      <c r="J407" s="33" t="n"/>
    </row>
    <row r="408" ht="15.75" customHeight="1" s="184">
      <c r="H408" s="33" t="n"/>
      <c r="I408" s="33" t="n"/>
      <c r="J408" s="33" t="n"/>
    </row>
    <row r="409" ht="15.75" customHeight="1" s="184">
      <c r="H409" s="33" t="n"/>
      <c r="I409" s="33" t="n"/>
      <c r="J409" s="33" t="n"/>
    </row>
    <row r="410" ht="15.75" customHeight="1" s="184">
      <c r="H410" s="33" t="n"/>
      <c r="I410" s="33" t="n"/>
      <c r="J410" s="33" t="n"/>
    </row>
    <row r="411" ht="15.75" customHeight="1" s="184">
      <c r="H411" s="33" t="n"/>
      <c r="I411" s="33" t="n"/>
      <c r="J411" s="33" t="n"/>
    </row>
    <row r="412" ht="15.75" customHeight="1" s="184">
      <c r="H412" s="33" t="n"/>
      <c r="I412" s="33" t="n"/>
      <c r="J412" s="33" t="n"/>
    </row>
    <row r="413" ht="15.75" customHeight="1" s="184">
      <c r="H413" s="33" t="n"/>
      <c r="I413" s="33" t="n"/>
      <c r="J413" s="33" t="n"/>
    </row>
    <row r="414" ht="15.75" customHeight="1" s="184">
      <c r="H414" s="33" t="n"/>
      <c r="I414" s="33" t="n"/>
      <c r="J414" s="33" t="n"/>
    </row>
    <row r="415" ht="15.75" customHeight="1" s="184">
      <c r="H415" s="33" t="n"/>
      <c r="I415" s="33" t="n"/>
      <c r="J415" s="33" t="n"/>
    </row>
    <row r="416" ht="15.75" customHeight="1" s="184">
      <c r="H416" s="33" t="n"/>
      <c r="I416" s="33" t="n"/>
      <c r="J416" s="33" t="n"/>
    </row>
    <row r="417" ht="15.75" customHeight="1" s="184">
      <c r="H417" s="33" t="n"/>
      <c r="I417" s="33" t="n"/>
      <c r="J417" s="33" t="n"/>
    </row>
    <row r="418" ht="15.75" customHeight="1" s="184">
      <c r="H418" s="33" t="n"/>
      <c r="I418" s="33" t="n"/>
      <c r="J418" s="33" t="n"/>
    </row>
    <row r="419" ht="15.75" customHeight="1" s="184">
      <c r="H419" s="33" t="n"/>
      <c r="I419" s="33" t="n"/>
      <c r="J419" s="33" t="n"/>
    </row>
    <row r="420" ht="15.75" customHeight="1" s="184">
      <c r="H420" s="33" t="n"/>
      <c r="I420" s="33" t="n"/>
      <c r="J420" s="33" t="n"/>
    </row>
    <row r="421" ht="15.75" customHeight="1" s="184">
      <c r="H421" s="33" t="n"/>
      <c r="I421" s="33" t="n"/>
      <c r="J421" s="33" t="n"/>
    </row>
    <row r="422" ht="15.75" customHeight="1" s="184">
      <c r="H422" s="33" t="n"/>
      <c r="I422" s="33" t="n"/>
      <c r="J422" s="33" t="n"/>
    </row>
    <row r="423" ht="15.75" customHeight="1" s="184">
      <c r="H423" s="33" t="n"/>
      <c r="I423" s="33" t="n"/>
      <c r="J423" s="33" t="n"/>
    </row>
    <row r="424" ht="15.75" customHeight="1" s="184">
      <c r="H424" s="33" t="n"/>
      <c r="I424" s="33" t="n"/>
      <c r="J424" s="33" t="n"/>
    </row>
    <row r="425" ht="15.75" customHeight="1" s="184">
      <c r="H425" s="33" t="n"/>
      <c r="I425" s="33" t="n"/>
      <c r="J425" s="33" t="n"/>
    </row>
    <row r="426" ht="15.75" customHeight="1" s="184">
      <c r="H426" s="33" t="n"/>
      <c r="I426" s="33" t="n"/>
      <c r="J426" s="33" t="n"/>
    </row>
    <row r="427" ht="15.75" customHeight="1" s="184">
      <c r="H427" s="33" t="n"/>
      <c r="I427" s="33" t="n"/>
      <c r="J427" s="33" t="n"/>
    </row>
    <row r="428" ht="15.75" customHeight="1" s="184">
      <c r="H428" s="33" t="n"/>
      <c r="I428" s="33" t="n"/>
      <c r="J428" s="33" t="n"/>
    </row>
    <row r="429" ht="15.75" customHeight="1" s="184">
      <c r="H429" s="33" t="n"/>
      <c r="I429" s="33" t="n"/>
      <c r="J429" s="33" t="n"/>
    </row>
    <row r="430" ht="15.75" customHeight="1" s="184">
      <c r="H430" s="33" t="n"/>
      <c r="I430" s="33" t="n"/>
      <c r="J430" s="33" t="n"/>
    </row>
    <row r="431" ht="15.75" customHeight="1" s="184">
      <c r="H431" s="33" t="n"/>
      <c r="I431" s="33" t="n"/>
      <c r="J431" s="33" t="n"/>
    </row>
    <row r="432" ht="15.75" customHeight="1" s="184">
      <c r="H432" s="33" t="n"/>
      <c r="I432" s="33" t="n"/>
      <c r="J432" s="33" t="n"/>
    </row>
    <row r="433" ht="15.75" customHeight="1" s="184">
      <c r="H433" s="33" t="n"/>
      <c r="I433" s="33" t="n"/>
      <c r="J433" s="33" t="n"/>
    </row>
    <row r="434" ht="15.75" customHeight="1" s="184">
      <c r="H434" s="33" t="n"/>
      <c r="I434" s="33" t="n"/>
      <c r="J434" s="33" t="n"/>
    </row>
    <row r="435" ht="15.75" customHeight="1" s="184">
      <c r="H435" s="33" t="n"/>
      <c r="I435" s="33" t="n"/>
      <c r="J435" s="33" t="n"/>
    </row>
    <row r="436" ht="15.75" customHeight="1" s="184">
      <c r="H436" s="33" t="n"/>
      <c r="I436" s="33" t="n"/>
      <c r="J436" s="33" t="n"/>
    </row>
    <row r="437" ht="15.75" customHeight="1" s="184">
      <c r="H437" s="33" t="n"/>
      <c r="I437" s="33" t="n"/>
      <c r="J437" s="33" t="n"/>
    </row>
    <row r="438" ht="15.75" customHeight="1" s="184">
      <c r="H438" s="33" t="n"/>
      <c r="I438" s="33" t="n"/>
      <c r="J438" s="33" t="n"/>
    </row>
    <row r="439" ht="15.75" customHeight="1" s="184">
      <c r="H439" s="33" t="n"/>
      <c r="I439" s="33" t="n"/>
      <c r="J439" s="33" t="n"/>
    </row>
    <row r="440" ht="15.75" customHeight="1" s="184">
      <c r="H440" s="33" t="n"/>
      <c r="I440" s="33" t="n"/>
      <c r="J440" s="33" t="n"/>
    </row>
    <row r="441" ht="15.75" customHeight="1" s="184">
      <c r="H441" s="33" t="n"/>
      <c r="I441" s="33" t="n"/>
      <c r="J441" s="33" t="n"/>
    </row>
    <row r="442" ht="15.75" customHeight="1" s="184">
      <c r="H442" s="33" t="n"/>
      <c r="I442" s="33" t="n"/>
      <c r="J442" s="33" t="n"/>
    </row>
    <row r="443" ht="15.75" customHeight="1" s="184">
      <c r="H443" s="33" t="n"/>
      <c r="I443" s="33" t="n"/>
      <c r="J443" s="33" t="n"/>
    </row>
    <row r="444" ht="15.75" customHeight="1" s="184">
      <c r="H444" s="33" t="n"/>
      <c r="I444" s="33" t="n"/>
      <c r="J444" s="33" t="n"/>
    </row>
    <row r="445" ht="15.75" customHeight="1" s="184">
      <c r="H445" s="33" t="n"/>
      <c r="I445" s="33" t="n"/>
      <c r="J445" s="33" t="n"/>
    </row>
    <row r="446" ht="15.75" customHeight="1" s="184">
      <c r="H446" s="33" t="n"/>
      <c r="I446" s="33" t="n"/>
      <c r="J446" s="33" t="n"/>
    </row>
    <row r="447" ht="15.75" customHeight="1" s="184">
      <c r="H447" s="33" t="n"/>
      <c r="I447" s="33" t="n"/>
      <c r="J447" s="33" t="n"/>
    </row>
    <row r="448" ht="15.75" customHeight="1" s="184">
      <c r="H448" s="33" t="n"/>
      <c r="I448" s="33" t="n"/>
      <c r="J448" s="33" t="n"/>
    </row>
    <row r="449" ht="15.75" customHeight="1" s="184">
      <c r="H449" s="33" t="n"/>
      <c r="I449" s="33" t="n"/>
      <c r="J449" s="33" t="n"/>
    </row>
    <row r="450" ht="15.75" customHeight="1" s="184">
      <c r="H450" s="33" t="n"/>
      <c r="I450" s="33" t="n"/>
      <c r="J450" s="33" t="n"/>
    </row>
    <row r="451" ht="15.75" customHeight="1" s="184">
      <c r="H451" s="33" t="n"/>
      <c r="I451" s="33" t="n"/>
      <c r="J451" s="33" t="n"/>
    </row>
    <row r="452" ht="15.75" customHeight="1" s="184">
      <c r="H452" s="33" t="n"/>
      <c r="I452" s="33" t="n"/>
      <c r="J452" s="33" t="n"/>
    </row>
    <row r="453" ht="15.75" customHeight="1" s="184">
      <c r="H453" s="33" t="n"/>
      <c r="I453" s="33" t="n"/>
      <c r="J453" s="33" t="n"/>
    </row>
    <row r="454" ht="15.75" customHeight="1" s="184">
      <c r="H454" s="33" t="n"/>
      <c r="I454" s="33" t="n"/>
      <c r="J454" s="33" t="n"/>
    </row>
    <row r="455" ht="15.75" customHeight="1" s="184">
      <c r="H455" s="33" t="n"/>
      <c r="I455" s="33" t="n"/>
      <c r="J455" s="33" t="n"/>
    </row>
    <row r="456" ht="15.75" customHeight="1" s="184">
      <c r="H456" s="33" t="n"/>
      <c r="I456" s="33" t="n"/>
      <c r="J456" s="33" t="n"/>
    </row>
    <row r="457" ht="15.75" customHeight="1" s="184">
      <c r="H457" s="33" t="n"/>
      <c r="I457" s="33" t="n"/>
      <c r="J457" s="33" t="n"/>
    </row>
    <row r="458" ht="15.75" customHeight="1" s="184">
      <c r="H458" s="33" t="n"/>
      <c r="I458" s="33" t="n"/>
      <c r="J458" s="33" t="n"/>
    </row>
    <row r="459" ht="15.75" customHeight="1" s="184">
      <c r="H459" s="33" t="n"/>
      <c r="I459" s="33" t="n"/>
      <c r="J459" s="33" t="n"/>
    </row>
    <row r="460" ht="15.75" customHeight="1" s="184">
      <c r="H460" s="33" t="n"/>
      <c r="I460" s="33" t="n"/>
      <c r="J460" s="33" t="n"/>
    </row>
    <row r="461" ht="15.75" customHeight="1" s="184">
      <c r="H461" s="33" t="n"/>
      <c r="I461" s="33" t="n"/>
      <c r="J461" s="33" t="n"/>
    </row>
    <row r="462" ht="15.75" customHeight="1" s="184">
      <c r="H462" s="33" t="n"/>
      <c r="I462" s="33" t="n"/>
      <c r="J462" s="33" t="n"/>
    </row>
    <row r="463" ht="15.75" customHeight="1" s="184">
      <c r="H463" s="33" t="n"/>
      <c r="I463" s="33" t="n"/>
      <c r="J463" s="33" t="n"/>
    </row>
    <row r="464" ht="15.75" customHeight="1" s="184">
      <c r="H464" s="33" t="n"/>
      <c r="I464" s="33" t="n"/>
      <c r="J464" s="33" t="n"/>
    </row>
    <row r="465" ht="15.75" customHeight="1" s="184">
      <c r="H465" s="33" t="n"/>
      <c r="I465" s="33" t="n"/>
      <c r="J465" s="33" t="n"/>
    </row>
    <row r="466" ht="15.75" customHeight="1" s="184">
      <c r="H466" s="33" t="n"/>
      <c r="I466" s="33" t="n"/>
      <c r="J466" s="33" t="n"/>
    </row>
    <row r="467" ht="15.75" customHeight="1" s="184">
      <c r="H467" s="33" t="n"/>
      <c r="I467" s="33" t="n"/>
      <c r="J467" s="33" t="n"/>
    </row>
    <row r="468" ht="15.75" customHeight="1" s="184">
      <c r="H468" s="33" t="n"/>
      <c r="I468" s="33" t="n"/>
      <c r="J468" s="33" t="n"/>
    </row>
    <row r="469" ht="15.75" customHeight="1" s="184">
      <c r="H469" s="33" t="n"/>
      <c r="I469" s="33" t="n"/>
      <c r="J469" s="33" t="n"/>
    </row>
    <row r="470" ht="15.75" customHeight="1" s="184">
      <c r="H470" s="33" t="n"/>
      <c r="I470" s="33" t="n"/>
      <c r="J470" s="33" t="n"/>
    </row>
    <row r="471" ht="15.75" customHeight="1" s="184">
      <c r="H471" s="33" t="n"/>
      <c r="I471" s="33" t="n"/>
      <c r="J471" s="33" t="n"/>
    </row>
    <row r="472" ht="15.75" customHeight="1" s="184">
      <c r="H472" s="33" t="n"/>
      <c r="I472" s="33" t="n"/>
      <c r="J472" s="33" t="n"/>
    </row>
    <row r="473" ht="15.75" customHeight="1" s="184">
      <c r="H473" s="33" t="n"/>
      <c r="I473" s="33" t="n"/>
      <c r="J473" s="33" t="n"/>
    </row>
    <row r="474" ht="15.75" customHeight="1" s="184">
      <c r="H474" s="33" t="n"/>
      <c r="I474" s="33" t="n"/>
      <c r="J474" s="33" t="n"/>
    </row>
    <row r="475" ht="15.75" customHeight="1" s="184">
      <c r="H475" s="33" t="n"/>
      <c r="I475" s="33" t="n"/>
      <c r="J475" s="33" t="n"/>
    </row>
    <row r="476" ht="15.75" customHeight="1" s="184">
      <c r="H476" s="33" t="n"/>
      <c r="I476" s="33" t="n"/>
      <c r="J476" s="33" t="n"/>
    </row>
    <row r="477" ht="15.75" customHeight="1" s="184">
      <c r="H477" s="33" t="n"/>
      <c r="I477" s="33" t="n"/>
      <c r="J477" s="33" t="n"/>
    </row>
    <row r="478" ht="15.75" customHeight="1" s="184">
      <c r="H478" s="33" t="n"/>
      <c r="I478" s="33" t="n"/>
      <c r="J478" s="33" t="n"/>
    </row>
    <row r="479" ht="15.75" customHeight="1" s="184">
      <c r="H479" s="33" t="n"/>
      <c r="I479" s="33" t="n"/>
      <c r="J479" s="33" t="n"/>
    </row>
    <row r="480" ht="15.75" customHeight="1" s="184">
      <c r="H480" s="33" t="n"/>
      <c r="I480" s="33" t="n"/>
      <c r="J480" s="33" t="n"/>
    </row>
    <row r="481" ht="15.75" customHeight="1" s="184">
      <c r="H481" s="33" t="n"/>
      <c r="I481" s="33" t="n"/>
      <c r="J481" s="33" t="n"/>
    </row>
    <row r="482" ht="15.75" customHeight="1" s="184">
      <c r="H482" s="33" t="n"/>
      <c r="I482" s="33" t="n"/>
      <c r="J482" s="33" t="n"/>
    </row>
    <row r="483" ht="15.75" customHeight="1" s="184">
      <c r="H483" s="33" t="n"/>
      <c r="I483" s="33" t="n"/>
      <c r="J483" s="33" t="n"/>
    </row>
    <row r="484" ht="15.75" customHeight="1" s="184">
      <c r="H484" s="33" t="n"/>
      <c r="I484" s="33" t="n"/>
      <c r="J484" s="33" t="n"/>
    </row>
    <row r="485" ht="15.75" customHeight="1" s="184">
      <c r="H485" s="33" t="n"/>
      <c r="I485" s="33" t="n"/>
      <c r="J485" s="33" t="n"/>
    </row>
    <row r="486" ht="15.75" customHeight="1" s="184">
      <c r="H486" s="33" t="n"/>
      <c r="I486" s="33" t="n"/>
      <c r="J486" s="33" t="n"/>
    </row>
    <row r="487" ht="15.75" customHeight="1" s="184">
      <c r="H487" s="33" t="n"/>
      <c r="I487" s="33" t="n"/>
      <c r="J487" s="33" t="n"/>
    </row>
    <row r="488" ht="15.75" customHeight="1" s="184">
      <c r="H488" s="33" t="n"/>
      <c r="I488" s="33" t="n"/>
      <c r="J488" s="33" t="n"/>
    </row>
    <row r="489" ht="15.75" customHeight="1" s="184">
      <c r="H489" s="33" t="n"/>
      <c r="I489" s="33" t="n"/>
      <c r="J489" s="33" t="n"/>
    </row>
    <row r="490" ht="15.75" customHeight="1" s="184">
      <c r="H490" s="33" t="n"/>
      <c r="I490" s="33" t="n"/>
      <c r="J490" s="33" t="n"/>
    </row>
    <row r="491" ht="15.75" customHeight="1" s="184">
      <c r="H491" s="33" t="n"/>
      <c r="I491" s="33" t="n"/>
      <c r="J491" s="33" t="n"/>
    </row>
    <row r="492" ht="15.75" customHeight="1" s="184">
      <c r="H492" s="33" t="n"/>
      <c r="I492" s="33" t="n"/>
      <c r="J492" s="33" t="n"/>
    </row>
    <row r="493" ht="15.75" customHeight="1" s="184">
      <c r="H493" s="33" t="n"/>
      <c r="I493" s="33" t="n"/>
      <c r="J493" s="33" t="n"/>
    </row>
    <row r="494" ht="15.75" customHeight="1" s="184">
      <c r="H494" s="33" t="n"/>
      <c r="I494" s="33" t="n"/>
      <c r="J494" s="33" t="n"/>
    </row>
    <row r="495" ht="15.75" customHeight="1" s="184">
      <c r="H495" s="33" t="n"/>
      <c r="I495" s="33" t="n"/>
      <c r="J495" s="33" t="n"/>
    </row>
    <row r="496" ht="15.75" customHeight="1" s="184">
      <c r="H496" s="33" t="n"/>
      <c r="I496" s="33" t="n"/>
      <c r="J496" s="33" t="n"/>
    </row>
    <row r="497" ht="15.75" customHeight="1" s="184">
      <c r="H497" s="33" t="n"/>
      <c r="I497" s="33" t="n"/>
      <c r="J497" s="33" t="n"/>
    </row>
    <row r="498" ht="15.75" customHeight="1" s="184">
      <c r="H498" s="33" t="n"/>
      <c r="I498" s="33" t="n"/>
      <c r="J498" s="33" t="n"/>
    </row>
    <row r="499" ht="15.75" customHeight="1" s="184">
      <c r="H499" s="33" t="n"/>
      <c r="I499" s="33" t="n"/>
      <c r="J499" s="33" t="n"/>
    </row>
    <row r="500" ht="15.75" customHeight="1" s="184">
      <c r="H500" s="33" t="n"/>
      <c r="I500" s="33" t="n"/>
      <c r="J500" s="33" t="n"/>
    </row>
    <row r="501" ht="15.75" customHeight="1" s="184">
      <c r="H501" s="33" t="n"/>
      <c r="I501" s="33" t="n"/>
      <c r="J501" s="33" t="n"/>
    </row>
    <row r="502" ht="15.75" customHeight="1" s="184">
      <c r="H502" s="33" t="n"/>
      <c r="I502" s="33" t="n"/>
      <c r="J502" s="33" t="n"/>
    </row>
    <row r="503" ht="15.75" customHeight="1" s="184">
      <c r="H503" s="33" t="n"/>
      <c r="I503" s="33" t="n"/>
      <c r="J503" s="33" t="n"/>
    </row>
    <row r="504" ht="15.75" customHeight="1" s="184">
      <c r="H504" s="33" t="n"/>
      <c r="I504" s="33" t="n"/>
      <c r="J504" s="33" t="n"/>
    </row>
    <row r="505" ht="15.75" customHeight="1" s="184">
      <c r="H505" s="33" t="n"/>
      <c r="I505" s="33" t="n"/>
      <c r="J505" s="33" t="n"/>
    </row>
    <row r="506" ht="15.75" customHeight="1" s="184">
      <c r="H506" s="33" t="n"/>
      <c r="I506" s="33" t="n"/>
      <c r="J506" s="33" t="n"/>
    </row>
    <row r="507" ht="15.75" customHeight="1" s="184">
      <c r="H507" s="33" t="n"/>
      <c r="I507" s="33" t="n"/>
      <c r="J507" s="33" t="n"/>
    </row>
    <row r="508" ht="15.75" customHeight="1" s="184">
      <c r="H508" s="33" t="n"/>
      <c r="I508" s="33" t="n"/>
      <c r="J508" s="33" t="n"/>
    </row>
    <row r="509" ht="15.75" customHeight="1" s="184">
      <c r="H509" s="33" t="n"/>
      <c r="I509" s="33" t="n"/>
      <c r="J509" s="33" t="n"/>
    </row>
    <row r="510" ht="15.75" customHeight="1" s="184">
      <c r="H510" s="33" t="n"/>
      <c r="I510" s="33" t="n"/>
      <c r="J510" s="33" t="n"/>
    </row>
    <row r="511" ht="15.75" customHeight="1" s="184">
      <c r="H511" s="33" t="n"/>
      <c r="I511" s="33" t="n"/>
      <c r="J511" s="33" t="n"/>
    </row>
    <row r="512" ht="15.75" customHeight="1" s="184">
      <c r="H512" s="33" t="n"/>
      <c r="I512" s="33" t="n"/>
      <c r="J512" s="33" t="n"/>
    </row>
    <row r="513" ht="15.75" customHeight="1" s="184">
      <c r="H513" s="33" t="n"/>
      <c r="I513" s="33" t="n"/>
      <c r="J513" s="33" t="n"/>
    </row>
    <row r="514" ht="15.75" customHeight="1" s="184">
      <c r="H514" s="33" t="n"/>
      <c r="I514" s="33" t="n"/>
      <c r="J514" s="33" t="n"/>
    </row>
    <row r="515" ht="15.75" customHeight="1" s="184">
      <c r="H515" s="33" t="n"/>
      <c r="I515" s="33" t="n"/>
      <c r="J515" s="33" t="n"/>
    </row>
    <row r="516" ht="15.75" customHeight="1" s="184">
      <c r="H516" s="33" t="n"/>
      <c r="I516" s="33" t="n"/>
      <c r="J516" s="33" t="n"/>
    </row>
    <row r="517" ht="15.75" customHeight="1" s="184">
      <c r="H517" s="33" t="n"/>
      <c r="I517" s="33" t="n"/>
      <c r="J517" s="33" t="n"/>
    </row>
    <row r="518" ht="15.75" customHeight="1" s="184">
      <c r="H518" s="33" t="n"/>
      <c r="I518" s="33" t="n"/>
      <c r="J518" s="33" t="n"/>
    </row>
    <row r="519" ht="15.75" customHeight="1" s="184">
      <c r="H519" s="33" t="n"/>
      <c r="I519" s="33" t="n"/>
      <c r="J519" s="33" t="n"/>
    </row>
    <row r="520" ht="15.75" customHeight="1" s="184">
      <c r="H520" s="33" t="n"/>
      <c r="I520" s="33" t="n"/>
      <c r="J520" s="33" t="n"/>
    </row>
    <row r="521" ht="15.75" customHeight="1" s="184">
      <c r="H521" s="33" t="n"/>
      <c r="I521" s="33" t="n"/>
      <c r="J521" s="33" t="n"/>
    </row>
    <row r="522" ht="15.75" customHeight="1" s="184">
      <c r="H522" s="33" t="n"/>
      <c r="I522" s="33" t="n"/>
      <c r="J522" s="33" t="n"/>
    </row>
    <row r="523" ht="15.75" customHeight="1" s="184">
      <c r="H523" s="33" t="n"/>
      <c r="I523" s="33" t="n"/>
      <c r="J523" s="33" t="n"/>
    </row>
    <row r="524" ht="15.75" customHeight="1" s="184">
      <c r="H524" s="33" t="n"/>
      <c r="I524" s="33" t="n"/>
      <c r="J524" s="33" t="n"/>
    </row>
    <row r="525" ht="15.75" customHeight="1" s="184">
      <c r="H525" s="33" t="n"/>
      <c r="I525" s="33" t="n"/>
      <c r="J525" s="33" t="n"/>
    </row>
    <row r="526" ht="15.75" customHeight="1" s="184">
      <c r="H526" s="33" t="n"/>
      <c r="I526" s="33" t="n"/>
      <c r="J526" s="33" t="n"/>
    </row>
    <row r="527" ht="15.75" customHeight="1" s="184">
      <c r="H527" s="33" t="n"/>
      <c r="I527" s="33" t="n"/>
      <c r="J527" s="33" t="n"/>
    </row>
    <row r="528" ht="15.75" customHeight="1" s="184">
      <c r="H528" s="33" t="n"/>
      <c r="I528" s="33" t="n"/>
      <c r="J528" s="33" t="n"/>
    </row>
    <row r="529" ht="15.75" customHeight="1" s="184">
      <c r="H529" s="33" t="n"/>
      <c r="I529" s="33" t="n"/>
      <c r="J529" s="33" t="n"/>
    </row>
    <row r="530" ht="15.75" customHeight="1" s="184">
      <c r="H530" s="33" t="n"/>
      <c r="I530" s="33" t="n"/>
      <c r="J530" s="33" t="n"/>
    </row>
    <row r="531" ht="15.75" customHeight="1" s="184">
      <c r="H531" s="33" t="n"/>
      <c r="I531" s="33" t="n"/>
      <c r="J531" s="33" t="n"/>
    </row>
    <row r="532" ht="15.75" customHeight="1" s="184">
      <c r="H532" s="33" t="n"/>
      <c r="I532" s="33" t="n"/>
      <c r="J532" s="33" t="n"/>
    </row>
    <row r="533" ht="15.75" customHeight="1" s="184">
      <c r="H533" s="33" t="n"/>
      <c r="I533" s="33" t="n"/>
      <c r="J533" s="33" t="n"/>
    </row>
    <row r="534" ht="15.75" customHeight="1" s="184">
      <c r="H534" s="33" t="n"/>
      <c r="I534" s="33" t="n"/>
      <c r="J534" s="33" t="n"/>
    </row>
    <row r="535" ht="15.75" customHeight="1" s="184">
      <c r="H535" s="33" t="n"/>
      <c r="I535" s="33" t="n"/>
      <c r="J535" s="33" t="n"/>
    </row>
    <row r="536" ht="15.75" customHeight="1" s="184">
      <c r="H536" s="33" t="n"/>
      <c r="I536" s="33" t="n"/>
      <c r="J536" s="33" t="n"/>
    </row>
    <row r="537" ht="15.75" customHeight="1" s="184">
      <c r="H537" s="33" t="n"/>
      <c r="I537" s="33" t="n"/>
      <c r="J537" s="33" t="n"/>
    </row>
    <row r="538" ht="15.75" customHeight="1" s="184">
      <c r="H538" s="33" t="n"/>
      <c r="I538" s="33" t="n"/>
      <c r="J538" s="33" t="n"/>
    </row>
    <row r="539" ht="15.75" customHeight="1" s="184">
      <c r="H539" s="33" t="n"/>
      <c r="I539" s="33" t="n"/>
      <c r="J539" s="33" t="n"/>
    </row>
    <row r="540" ht="15.75" customHeight="1" s="184">
      <c r="H540" s="33" t="n"/>
      <c r="I540" s="33" t="n"/>
      <c r="J540" s="33" t="n"/>
    </row>
    <row r="541" ht="15.75" customHeight="1" s="184">
      <c r="H541" s="33" t="n"/>
      <c r="I541" s="33" t="n"/>
      <c r="J541" s="33" t="n"/>
    </row>
    <row r="542" ht="15.75" customHeight="1" s="184">
      <c r="H542" s="33" t="n"/>
      <c r="I542" s="33" t="n"/>
      <c r="J542" s="33" t="n"/>
    </row>
    <row r="543" ht="15.75" customHeight="1" s="184">
      <c r="H543" s="33" t="n"/>
      <c r="I543" s="33" t="n"/>
      <c r="J543" s="33" t="n"/>
    </row>
    <row r="544" ht="15.75" customHeight="1" s="184">
      <c r="H544" s="33" t="n"/>
      <c r="I544" s="33" t="n"/>
      <c r="J544" s="33" t="n"/>
    </row>
    <row r="545" ht="15.75" customHeight="1" s="184">
      <c r="H545" s="33" t="n"/>
      <c r="I545" s="33" t="n"/>
      <c r="J545" s="33" t="n"/>
    </row>
    <row r="546" ht="15.75" customHeight="1" s="184">
      <c r="H546" s="33" t="n"/>
      <c r="I546" s="33" t="n"/>
      <c r="J546" s="33" t="n"/>
    </row>
    <row r="547" ht="15.75" customHeight="1" s="184">
      <c r="H547" s="33" t="n"/>
      <c r="I547" s="33" t="n"/>
      <c r="J547" s="33" t="n"/>
    </row>
    <row r="548" ht="15.75" customHeight="1" s="184">
      <c r="H548" s="33" t="n"/>
      <c r="I548" s="33" t="n"/>
      <c r="J548" s="33" t="n"/>
    </row>
    <row r="549" ht="15.75" customHeight="1" s="184">
      <c r="H549" s="33" t="n"/>
      <c r="I549" s="33" t="n"/>
      <c r="J549" s="33" t="n"/>
    </row>
    <row r="550" ht="15.75" customHeight="1" s="184">
      <c r="H550" s="33" t="n"/>
      <c r="I550" s="33" t="n"/>
      <c r="J550" s="33" t="n"/>
    </row>
    <row r="551" ht="15.75" customHeight="1" s="184">
      <c r="H551" s="33" t="n"/>
      <c r="I551" s="33" t="n"/>
      <c r="J551" s="33" t="n"/>
    </row>
    <row r="552" ht="15.75" customHeight="1" s="184">
      <c r="H552" s="33" t="n"/>
      <c r="I552" s="33" t="n"/>
      <c r="J552" s="33" t="n"/>
    </row>
    <row r="553" ht="15.75" customHeight="1" s="184">
      <c r="H553" s="33" t="n"/>
      <c r="I553" s="33" t="n"/>
      <c r="J553" s="33" t="n"/>
    </row>
    <row r="554" ht="15.75" customHeight="1" s="184">
      <c r="H554" s="33" t="n"/>
      <c r="I554" s="33" t="n"/>
      <c r="J554" s="33" t="n"/>
    </row>
    <row r="555" ht="15.75" customHeight="1" s="184">
      <c r="H555" s="33" t="n"/>
      <c r="I555" s="33" t="n"/>
      <c r="J555" s="33" t="n"/>
    </row>
    <row r="556" ht="15.75" customHeight="1" s="184">
      <c r="H556" s="33" t="n"/>
      <c r="I556" s="33" t="n"/>
      <c r="J556" s="33" t="n"/>
    </row>
    <row r="557" ht="15.75" customHeight="1" s="184">
      <c r="H557" s="33" t="n"/>
      <c r="I557" s="33" t="n"/>
      <c r="J557" s="33" t="n"/>
    </row>
    <row r="558" ht="15.75" customHeight="1" s="184">
      <c r="H558" s="33" t="n"/>
      <c r="I558" s="33" t="n"/>
      <c r="J558" s="33" t="n"/>
    </row>
    <row r="559" ht="15.75" customHeight="1" s="184">
      <c r="H559" s="33" t="n"/>
      <c r="I559" s="33" t="n"/>
      <c r="J559" s="33" t="n"/>
    </row>
    <row r="560" ht="15.75" customHeight="1" s="184">
      <c r="H560" s="33" t="n"/>
      <c r="I560" s="33" t="n"/>
      <c r="J560" s="33" t="n"/>
    </row>
    <row r="561" ht="15.75" customHeight="1" s="184">
      <c r="H561" s="33" t="n"/>
      <c r="I561" s="33" t="n"/>
      <c r="J561" s="33" t="n"/>
    </row>
    <row r="562" ht="15.75" customHeight="1" s="184">
      <c r="H562" s="33" t="n"/>
      <c r="I562" s="33" t="n"/>
      <c r="J562" s="33" t="n"/>
    </row>
    <row r="563" ht="15.75" customHeight="1" s="184">
      <c r="H563" s="33" t="n"/>
      <c r="I563" s="33" t="n"/>
      <c r="J563" s="33" t="n"/>
    </row>
    <row r="564" ht="15.75" customHeight="1" s="184">
      <c r="H564" s="33" t="n"/>
      <c r="I564" s="33" t="n"/>
      <c r="J564" s="33" t="n"/>
    </row>
    <row r="565" ht="15.75" customHeight="1" s="184">
      <c r="H565" s="33" t="n"/>
      <c r="I565" s="33" t="n"/>
      <c r="J565" s="33" t="n"/>
    </row>
    <row r="566" ht="15.75" customHeight="1" s="184">
      <c r="H566" s="33" t="n"/>
      <c r="I566" s="33" t="n"/>
      <c r="J566" s="33" t="n"/>
    </row>
    <row r="567" ht="15.75" customHeight="1" s="184">
      <c r="H567" s="33" t="n"/>
      <c r="I567" s="33" t="n"/>
      <c r="J567" s="33" t="n"/>
    </row>
    <row r="568" ht="15.75" customHeight="1" s="184">
      <c r="H568" s="33" t="n"/>
      <c r="I568" s="33" t="n"/>
      <c r="J568" s="33" t="n"/>
    </row>
    <row r="569" ht="15.75" customHeight="1" s="184">
      <c r="H569" s="33" t="n"/>
      <c r="I569" s="33" t="n"/>
      <c r="J569" s="33" t="n"/>
    </row>
    <row r="570" ht="15.75" customHeight="1" s="184">
      <c r="H570" s="33" t="n"/>
      <c r="I570" s="33" t="n"/>
      <c r="J570" s="33" t="n"/>
    </row>
    <row r="571" ht="15.75" customHeight="1" s="184">
      <c r="H571" s="33" t="n"/>
      <c r="I571" s="33" t="n"/>
      <c r="J571" s="33" t="n"/>
    </row>
    <row r="572" ht="15.75" customHeight="1" s="184">
      <c r="H572" s="33" t="n"/>
      <c r="I572" s="33" t="n"/>
      <c r="J572" s="33" t="n"/>
    </row>
    <row r="573" ht="15.75" customHeight="1" s="184">
      <c r="H573" s="33" t="n"/>
      <c r="I573" s="33" t="n"/>
      <c r="J573" s="33" t="n"/>
    </row>
    <row r="574" ht="15.75" customHeight="1" s="184">
      <c r="H574" s="33" t="n"/>
      <c r="I574" s="33" t="n"/>
      <c r="J574" s="33" t="n"/>
    </row>
    <row r="575" ht="15.75" customHeight="1" s="184">
      <c r="H575" s="33" t="n"/>
      <c r="I575" s="33" t="n"/>
      <c r="J575" s="33" t="n"/>
    </row>
    <row r="576" ht="15.75" customHeight="1" s="184">
      <c r="H576" s="33" t="n"/>
      <c r="I576" s="33" t="n"/>
      <c r="J576" s="33" t="n"/>
    </row>
    <row r="577" ht="15.75" customHeight="1" s="184">
      <c r="H577" s="33" t="n"/>
      <c r="I577" s="33" t="n"/>
      <c r="J577" s="33" t="n"/>
    </row>
    <row r="578" ht="15.75" customHeight="1" s="184">
      <c r="H578" s="33" t="n"/>
      <c r="I578" s="33" t="n"/>
      <c r="J578" s="33" t="n"/>
    </row>
    <row r="579" ht="15.75" customHeight="1" s="184">
      <c r="H579" s="33" t="n"/>
      <c r="I579" s="33" t="n"/>
      <c r="J579" s="33" t="n"/>
    </row>
    <row r="580" ht="15.75" customHeight="1" s="184">
      <c r="H580" s="33" t="n"/>
      <c r="I580" s="33" t="n"/>
      <c r="J580" s="33" t="n"/>
    </row>
    <row r="581" ht="15.75" customHeight="1" s="184">
      <c r="H581" s="33" t="n"/>
      <c r="I581" s="33" t="n"/>
      <c r="J581" s="33" t="n"/>
    </row>
    <row r="582" ht="15.75" customHeight="1" s="184">
      <c r="H582" s="33" t="n"/>
      <c r="I582" s="33" t="n"/>
      <c r="J582" s="33" t="n"/>
    </row>
    <row r="583" ht="15.75" customHeight="1" s="184">
      <c r="H583" s="33" t="n"/>
      <c r="I583" s="33" t="n"/>
      <c r="J583" s="33" t="n"/>
    </row>
    <row r="584" ht="15.75" customHeight="1" s="184">
      <c r="H584" s="33" t="n"/>
      <c r="I584" s="33" t="n"/>
      <c r="J584" s="33" t="n"/>
    </row>
    <row r="585" ht="15.75" customHeight="1" s="184">
      <c r="H585" s="33" t="n"/>
      <c r="I585" s="33" t="n"/>
      <c r="J585" s="33" t="n"/>
    </row>
    <row r="586" ht="15.75" customHeight="1" s="184">
      <c r="H586" s="33" t="n"/>
      <c r="I586" s="33" t="n"/>
      <c r="J586" s="33" t="n"/>
    </row>
    <row r="587" ht="15.75" customHeight="1" s="184">
      <c r="H587" s="33" t="n"/>
      <c r="I587" s="33" t="n"/>
      <c r="J587" s="33" t="n"/>
    </row>
    <row r="588" ht="15.75" customHeight="1" s="184">
      <c r="H588" s="33" t="n"/>
      <c r="I588" s="33" t="n"/>
      <c r="J588" s="33" t="n"/>
    </row>
    <row r="589" ht="15.75" customHeight="1" s="184">
      <c r="H589" s="33" t="n"/>
      <c r="I589" s="33" t="n"/>
      <c r="J589" s="33" t="n"/>
    </row>
    <row r="590" ht="15.75" customHeight="1" s="184">
      <c r="H590" s="33" t="n"/>
      <c r="I590" s="33" t="n"/>
      <c r="J590" s="33" t="n"/>
    </row>
    <row r="591" ht="15.75" customHeight="1" s="184">
      <c r="H591" s="33" t="n"/>
      <c r="I591" s="33" t="n"/>
      <c r="J591" s="33" t="n"/>
    </row>
    <row r="592" ht="15.75" customHeight="1" s="184">
      <c r="H592" s="33" t="n"/>
      <c r="I592" s="33" t="n"/>
      <c r="J592" s="33" t="n"/>
    </row>
    <row r="593" ht="15.75" customHeight="1" s="184">
      <c r="H593" s="33" t="n"/>
      <c r="I593" s="33" t="n"/>
      <c r="J593" s="33" t="n"/>
    </row>
    <row r="594" ht="15.75" customHeight="1" s="184">
      <c r="H594" s="33" t="n"/>
      <c r="I594" s="33" t="n"/>
      <c r="J594" s="33" t="n"/>
    </row>
    <row r="595" ht="15.75" customHeight="1" s="184">
      <c r="H595" s="33" t="n"/>
      <c r="I595" s="33" t="n"/>
      <c r="J595" s="33" t="n"/>
    </row>
    <row r="596" ht="15.75" customHeight="1" s="184">
      <c r="H596" s="33" t="n"/>
      <c r="I596" s="33" t="n"/>
      <c r="J596" s="33" t="n"/>
    </row>
    <row r="597" ht="15.75" customHeight="1" s="184">
      <c r="H597" s="33" t="n"/>
      <c r="I597" s="33" t="n"/>
      <c r="J597" s="33" t="n"/>
    </row>
    <row r="598" ht="15.75" customHeight="1" s="184">
      <c r="H598" s="33" t="n"/>
      <c r="I598" s="33" t="n"/>
      <c r="J598" s="33" t="n"/>
    </row>
    <row r="599" ht="15.75" customHeight="1" s="184">
      <c r="H599" s="33" t="n"/>
      <c r="I599" s="33" t="n"/>
      <c r="J599" s="33" t="n"/>
    </row>
    <row r="600" ht="15.75" customHeight="1" s="184">
      <c r="H600" s="33" t="n"/>
      <c r="I600" s="33" t="n"/>
      <c r="J600" s="33" t="n"/>
    </row>
    <row r="601" ht="15.75" customHeight="1" s="184">
      <c r="H601" s="33" t="n"/>
      <c r="I601" s="33" t="n"/>
      <c r="J601" s="33" t="n"/>
    </row>
    <row r="602" ht="15.75" customHeight="1" s="184">
      <c r="H602" s="33" t="n"/>
      <c r="I602" s="33" t="n"/>
      <c r="J602" s="33" t="n"/>
    </row>
    <row r="603" ht="15.75" customHeight="1" s="184">
      <c r="H603" s="33" t="n"/>
      <c r="I603" s="33" t="n"/>
      <c r="J603" s="33" t="n"/>
    </row>
    <row r="604" ht="15.75" customHeight="1" s="184">
      <c r="H604" s="33" t="n"/>
      <c r="I604" s="33" t="n"/>
      <c r="J604" s="33" t="n"/>
    </row>
    <row r="605" ht="15.75" customHeight="1" s="184">
      <c r="H605" s="33" t="n"/>
      <c r="I605" s="33" t="n"/>
      <c r="J605" s="33" t="n"/>
    </row>
    <row r="606" ht="15.75" customHeight="1" s="184">
      <c r="H606" s="33" t="n"/>
      <c r="I606" s="33" t="n"/>
      <c r="J606" s="33" t="n"/>
    </row>
    <row r="607" ht="15.75" customHeight="1" s="184">
      <c r="H607" s="33" t="n"/>
      <c r="I607" s="33" t="n"/>
      <c r="J607" s="33" t="n"/>
    </row>
    <row r="608" ht="15.75" customHeight="1" s="184">
      <c r="H608" s="33" t="n"/>
      <c r="I608" s="33" t="n"/>
      <c r="J608" s="33" t="n"/>
    </row>
    <row r="609" ht="15.75" customHeight="1" s="184">
      <c r="H609" s="33" t="n"/>
      <c r="I609" s="33" t="n"/>
      <c r="J609" s="33" t="n"/>
    </row>
    <row r="610" ht="15.75" customHeight="1" s="184">
      <c r="H610" s="33" t="n"/>
      <c r="I610" s="33" t="n"/>
      <c r="J610" s="33" t="n"/>
    </row>
    <row r="611" ht="15.75" customHeight="1" s="184">
      <c r="H611" s="33" t="n"/>
      <c r="I611" s="33" t="n"/>
      <c r="J611" s="33" t="n"/>
    </row>
    <row r="612" ht="15.75" customHeight="1" s="184">
      <c r="H612" s="33" t="n"/>
      <c r="I612" s="33" t="n"/>
      <c r="J612" s="33" t="n"/>
    </row>
    <row r="613" ht="15.75" customHeight="1" s="184">
      <c r="H613" s="33" t="n"/>
      <c r="I613" s="33" t="n"/>
      <c r="J613" s="33" t="n"/>
    </row>
    <row r="614" ht="15.75" customHeight="1" s="184">
      <c r="H614" s="33" t="n"/>
      <c r="I614" s="33" t="n"/>
      <c r="J614" s="33" t="n"/>
    </row>
    <row r="615" ht="15.75" customHeight="1" s="184">
      <c r="H615" s="33" t="n"/>
      <c r="I615" s="33" t="n"/>
      <c r="J615" s="33" t="n"/>
    </row>
    <row r="616" ht="15.75" customHeight="1" s="184">
      <c r="H616" s="33" t="n"/>
      <c r="I616" s="33" t="n"/>
      <c r="J616" s="33" t="n"/>
    </row>
    <row r="617" ht="15.75" customHeight="1" s="184">
      <c r="H617" s="33" t="n"/>
      <c r="I617" s="33" t="n"/>
      <c r="J617" s="33" t="n"/>
    </row>
    <row r="618" ht="15.75" customHeight="1" s="184">
      <c r="H618" s="33" t="n"/>
      <c r="I618" s="33" t="n"/>
      <c r="J618" s="33" t="n"/>
    </row>
    <row r="619" ht="15.75" customHeight="1" s="184">
      <c r="H619" s="33" t="n"/>
      <c r="I619" s="33" t="n"/>
      <c r="J619" s="33" t="n"/>
    </row>
    <row r="620" ht="15.75" customHeight="1" s="184">
      <c r="H620" s="33" t="n"/>
      <c r="I620" s="33" t="n"/>
      <c r="J620" s="33" t="n"/>
    </row>
    <row r="621" ht="15.75" customHeight="1" s="184">
      <c r="H621" s="33" t="n"/>
      <c r="I621" s="33" t="n"/>
      <c r="J621" s="33" t="n"/>
    </row>
    <row r="622" ht="15.75" customHeight="1" s="184">
      <c r="H622" s="33" t="n"/>
      <c r="I622" s="33" t="n"/>
      <c r="J622" s="33" t="n"/>
    </row>
    <row r="623" ht="15.75" customHeight="1" s="184">
      <c r="H623" s="33" t="n"/>
      <c r="I623" s="33" t="n"/>
      <c r="J623" s="33" t="n"/>
    </row>
    <row r="624" ht="15.75" customHeight="1" s="184">
      <c r="H624" s="33" t="n"/>
      <c r="I624" s="33" t="n"/>
      <c r="J624" s="33" t="n"/>
    </row>
    <row r="625" ht="15.75" customHeight="1" s="184">
      <c r="H625" s="33" t="n"/>
      <c r="I625" s="33" t="n"/>
      <c r="J625" s="33" t="n"/>
    </row>
    <row r="626" ht="15.75" customHeight="1" s="184">
      <c r="H626" s="33" t="n"/>
      <c r="I626" s="33" t="n"/>
      <c r="J626" s="33" t="n"/>
    </row>
    <row r="627" ht="15.75" customHeight="1" s="184">
      <c r="H627" s="33" t="n"/>
      <c r="I627" s="33" t="n"/>
      <c r="J627" s="33" t="n"/>
    </row>
    <row r="628" ht="15.75" customHeight="1" s="184">
      <c r="H628" s="33" t="n"/>
      <c r="I628" s="33" t="n"/>
      <c r="J628" s="33" t="n"/>
    </row>
    <row r="629" ht="15.75" customHeight="1" s="184">
      <c r="H629" s="33" t="n"/>
      <c r="I629" s="33" t="n"/>
      <c r="J629" s="33" t="n"/>
    </row>
    <row r="630" ht="15.75" customHeight="1" s="184">
      <c r="H630" s="33" t="n"/>
      <c r="I630" s="33" t="n"/>
      <c r="J630" s="33" t="n"/>
    </row>
    <row r="631" ht="15.75" customHeight="1" s="184">
      <c r="H631" s="33" t="n"/>
      <c r="I631" s="33" t="n"/>
      <c r="J631" s="33" t="n"/>
    </row>
    <row r="632" ht="15.75" customHeight="1" s="184">
      <c r="H632" s="33" t="n"/>
      <c r="I632" s="33" t="n"/>
      <c r="J632" s="33" t="n"/>
    </row>
    <row r="633" ht="15.75" customHeight="1" s="184">
      <c r="H633" s="33" t="n"/>
      <c r="I633" s="33" t="n"/>
      <c r="J633" s="33" t="n"/>
    </row>
    <row r="634" ht="15.75" customHeight="1" s="184">
      <c r="H634" s="33" t="n"/>
      <c r="I634" s="33" t="n"/>
      <c r="J634" s="33" t="n"/>
    </row>
    <row r="635" ht="15.75" customHeight="1" s="184">
      <c r="H635" s="33" t="n"/>
      <c r="I635" s="33" t="n"/>
      <c r="J635" s="33" t="n"/>
    </row>
    <row r="636" ht="15.75" customHeight="1" s="184">
      <c r="H636" s="33" t="n"/>
      <c r="I636" s="33" t="n"/>
      <c r="J636" s="33" t="n"/>
    </row>
    <row r="637" ht="15.75" customHeight="1" s="184">
      <c r="H637" s="33" t="n"/>
      <c r="I637" s="33" t="n"/>
      <c r="J637" s="33" t="n"/>
    </row>
    <row r="638" ht="15.75" customHeight="1" s="184">
      <c r="H638" s="33" t="n"/>
      <c r="I638" s="33" t="n"/>
      <c r="J638" s="33" t="n"/>
    </row>
    <row r="639" ht="15.75" customHeight="1" s="184">
      <c r="H639" s="33" t="n"/>
      <c r="I639" s="33" t="n"/>
      <c r="J639" s="33" t="n"/>
    </row>
    <row r="640" ht="15.75" customHeight="1" s="184">
      <c r="H640" s="33" t="n"/>
      <c r="I640" s="33" t="n"/>
      <c r="J640" s="33" t="n"/>
    </row>
    <row r="641" ht="15.75" customHeight="1" s="184">
      <c r="H641" s="33" t="n"/>
      <c r="I641" s="33" t="n"/>
      <c r="J641" s="33" t="n"/>
    </row>
    <row r="642" ht="15.75" customHeight="1" s="184">
      <c r="H642" s="33" t="n"/>
      <c r="I642" s="33" t="n"/>
      <c r="J642" s="33" t="n"/>
    </row>
    <row r="643" ht="15.75" customHeight="1" s="184">
      <c r="H643" s="33" t="n"/>
      <c r="I643" s="33" t="n"/>
      <c r="J643" s="33" t="n"/>
    </row>
    <row r="644" ht="15.75" customHeight="1" s="184">
      <c r="H644" s="33" t="n"/>
      <c r="I644" s="33" t="n"/>
      <c r="J644" s="33" t="n"/>
    </row>
    <row r="645" ht="15.75" customHeight="1" s="184">
      <c r="H645" s="33" t="n"/>
      <c r="I645" s="33" t="n"/>
      <c r="J645" s="33" t="n"/>
    </row>
    <row r="646" ht="15.75" customHeight="1" s="184">
      <c r="H646" s="33" t="n"/>
      <c r="I646" s="33" t="n"/>
      <c r="J646" s="33" t="n"/>
    </row>
    <row r="647" ht="15.75" customHeight="1" s="184">
      <c r="H647" s="33" t="n"/>
      <c r="I647" s="33" t="n"/>
      <c r="J647" s="33" t="n"/>
    </row>
    <row r="648" ht="15.75" customHeight="1" s="184">
      <c r="H648" s="33" t="n"/>
      <c r="I648" s="33" t="n"/>
      <c r="J648" s="33" t="n"/>
    </row>
    <row r="649" ht="15.75" customHeight="1" s="184">
      <c r="H649" s="33" t="n"/>
      <c r="I649" s="33" t="n"/>
      <c r="J649" s="33" t="n"/>
    </row>
    <row r="650" ht="15.75" customHeight="1" s="184">
      <c r="H650" s="33" t="n"/>
      <c r="I650" s="33" t="n"/>
      <c r="J650" s="33" t="n"/>
    </row>
    <row r="651" ht="15.75" customHeight="1" s="184">
      <c r="H651" s="33" t="n"/>
      <c r="I651" s="33" t="n"/>
      <c r="J651" s="33" t="n"/>
    </row>
    <row r="652" ht="15.75" customHeight="1" s="184">
      <c r="H652" s="33" t="n"/>
      <c r="I652" s="33" t="n"/>
      <c r="J652" s="33" t="n"/>
    </row>
    <row r="653" ht="15.75" customHeight="1" s="184">
      <c r="H653" s="33" t="n"/>
      <c r="I653" s="33" t="n"/>
      <c r="J653" s="33" t="n"/>
    </row>
    <row r="654" ht="15.75" customHeight="1" s="184">
      <c r="H654" s="33" t="n"/>
      <c r="I654" s="33" t="n"/>
      <c r="J654" s="33" t="n"/>
    </row>
    <row r="655" ht="15.75" customHeight="1" s="184">
      <c r="H655" s="33" t="n"/>
      <c r="I655" s="33" t="n"/>
      <c r="J655" s="33" t="n"/>
    </row>
    <row r="656" ht="15.75" customHeight="1" s="184">
      <c r="H656" s="33" t="n"/>
      <c r="I656" s="33" t="n"/>
      <c r="J656" s="33" t="n"/>
    </row>
    <row r="657" ht="15.75" customHeight="1" s="184">
      <c r="H657" s="33" t="n"/>
      <c r="I657" s="33" t="n"/>
      <c r="J657" s="33" t="n"/>
    </row>
    <row r="658" ht="15.75" customHeight="1" s="184">
      <c r="H658" s="33" t="n"/>
      <c r="I658" s="33" t="n"/>
      <c r="J658" s="33" t="n"/>
    </row>
    <row r="659" ht="15.75" customHeight="1" s="184">
      <c r="H659" s="33" t="n"/>
      <c r="I659" s="33" t="n"/>
      <c r="J659" s="33" t="n"/>
    </row>
    <row r="660" ht="15.75" customHeight="1" s="184">
      <c r="H660" s="33" t="n"/>
      <c r="I660" s="33" t="n"/>
      <c r="J660" s="33" t="n"/>
    </row>
    <row r="661" ht="15.75" customHeight="1" s="184">
      <c r="H661" s="33" t="n"/>
      <c r="I661" s="33" t="n"/>
      <c r="J661" s="33" t="n"/>
    </row>
    <row r="662" ht="15.75" customHeight="1" s="184">
      <c r="H662" s="33" t="n"/>
      <c r="I662" s="33" t="n"/>
      <c r="J662" s="33" t="n"/>
    </row>
    <row r="663" ht="15.75" customHeight="1" s="184">
      <c r="H663" s="33" t="n"/>
      <c r="I663" s="33" t="n"/>
      <c r="J663" s="33" t="n"/>
    </row>
    <row r="664" ht="15.75" customHeight="1" s="184">
      <c r="H664" s="33" t="n"/>
      <c r="I664" s="33" t="n"/>
      <c r="J664" s="33" t="n"/>
    </row>
    <row r="665" ht="15.75" customHeight="1" s="184">
      <c r="H665" s="33" t="n"/>
      <c r="I665" s="33" t="n"/>
      <c r="J665" s="33" t="n"/>
    </row>
    <row r="666" ht="15.75" customHeight="1" s="184">
      <c r="H666" s="33" t="n"/>
      <c r="I666" s="33" t="n"/>
      <c r="J666" s="33" t="n"/>
    </row>
    <row r="667" ht="15.75" customHeight="1" s="184">
      <c r="H667" s="33" t="n"/>
      <c r="I667" s="33" t="n"/>
      <c r="J667" s="33" t="n"/>
    </row>
    <row r="668" ht="15.75" customHeight="1" s="184">
      <c r="H668" s="33" t="n"/>
      <c r="I668" s="33" t="n"/>
      <c r="J668" s="33" t="n"/>
    </row>
    <row r="669" ht="15.75" customHeight="1" s="184">
      <c r="H669" s="33" t="n"/>
      <c r="I669" s="33" t="n"/>
      <c r="J669" s="33" t="n"/>
    </row>
    <row r="670" ht="15.75" customHeight="1" s="184">
      <c r="H670" s="33" t="n"/>
      <c r="I670" s="33" t="n"/>
      <c r="J670" s="33" t="n"/>
    </row>
    <row r="671" ht="15.75" customHeight="1" s="184">
      <c r="H671" s="33" t="n"/>
      <c r="I671" s="33" t="n"/>
      <c r="J671" s="33" t="n"/>
    </row>
    <row r="672" ht="15.75" customHeight="1" s="184">
      <c r="H672" s="33" t="n"/>
      <c r="I672" s="33" t="n"/>
      <c r="J672" s="33" t="n"/>
    </row>
    <row r="673" ht="15.75" customHeight="1" s="184">
      <c r="H673" s="33" t="n"/>
      <c r="I673" s="33" t="n"/>
      <c r="J673" s="33" t="n"/>
    </row>
    <row r="674" ht="15.75" customHeight="1" s="184">
      <c r="H674" s="33" t="n"/>
      <c r="I674" s="33" t="n"/>
      <c r="J674" s="33" t="n"/>
    </row>
    <row r="675" ht="15.75" customHeight="1" s="184">
      <c r="H675" s="33" t="n"/>
      <c r="I675" s="33" t="n"/>
      <c r="J675" s="33" t="n"/>
    </row>
    <row r="676" ht="15.75" customHeight="1" s="184">
      <c r="H676" s="33" t="n"/>
      <c r="I676" s="33" t="n"/>
      <c r="J676" s="33" t="n"/>
    </row>
    <row r="677" ht="15.75" customHeight="1" s="184">
      <c r="H677" s="33" t="n"/>
      <c r="I677" s="33" t="n"/>
      <c r="J677" s="33" t="n"/>
    </row>
    <row r="678" ht="15.75" customHeight="1" s="184">
      <c r="H678" s="33" t="n"/>
      <c r="I678" s="33" t="n"/>
      <c r="J678" s="33" t="n"/>
    </row>
    <row r="679" ht="15.75" customHeight="1" s="184">
      <c r="H679" s="33" t="n"/>
      <c r="I679" s="33" t="n"/>
      <c r="J679" s="33" t="n"/>
    </row>
    <row r="680" ht="15.75" customHeight="1" s="184">
      <c r="H680" s="33" t="n"/>
      <c r="I680" s="33" t="n"/>
      <c r="J680" s="33" t="n"/>
    </row>
    <row r="681" ht="15.75" customHeight="1" s="184">
      <c r="H681" s="33" t="n"/>
      <c r="I681" s="33" t="n"/>
      <c r="J681" s="33" t="n"/>
    </row>
    <row r="682" ht="15.75" customHeight="1" s="184">
      <c r="H682" s="33" t="n"/>
      <c r="I682" s="33" t="n"/>
      <c r="J682" s="33" t="n"/>
    </row>
    <row r="683" ht="15.75" customHeight="1" s="184">
      <c r="H683" s="33" t="n"/>
      <c r="I683" s="33" t="n"/>
      <c r="J683" s="33" t="n"/>
    </row>
    <row r="684" ht="15.75" customHeight="1" s="184">
      <c r="H684" s="33" t="n"/>
      <c r="I684" s="33" t="n"/>
      <c r="J684" s="33" t="n"/>
    </row>
    <row r="685" ht="15.75" customHeight="1" s="184">
      <c r="H685" s="33" t="n"/>
      <c r="I685" s="33" t="n"/>
      <c r="J685" s="33" t="n"/>
    </row>
    <row r="686" ht="15.75" customHeight="1" s="184">
      <c r="H686" s="33" t="n"/>
      <c r="I686" s="33" t="n"/>
      <c r="J686" s="33" t="n"/>
    </row>
    <row r="687" ht="15.75" customHeight="1" s="184">
      <c r="H687" s="33" t="n"/>
      <c r="I687" s="33" t="n"/>
      <c r="J687" s="33" t="n"/>
    </row>
    <row r="688" ht="15.75" customHeight="1" s="184">
      <c r="H688" s="33" t="n"/>
      <c r="I688" s="33" t="n"/>
      <c r="J688" s="33" t="n"/>
    </row>
    <row r="689" ht="15.75" customHeight="1" s="184">
      <c r="H689" s="33" t="n"/>
      <c r="I689" s="33" t="n"/>
      <c r="J689" s="33" t="n"/>
    </row>
    <row r="690" ht="15.75" customHeight="1" s="184">
      <c r="H690" s="33" t="n"/>
      <c r="I690" s="33" t="n"/>
      <c r="J690" s="33" t="n"/>
    </row>
    <row r="691" ht="15.75" customHeight="1" s="184">
      <c r="H691" s="33" t="n"/>
      <c r="I691" s="33" t="n"/>
      <c r="J691" s="33" t="n"/>
    </row>
    <row r="692" ht="15.75" customHeight="1" s="184">
      <c r="H692" s="33" t="n"/>
      <c r="I692" s="33" t="n"/>
      <c r="J692" s="33" t="n"/>
    </row>
    <row r="693" ht="15.75" customHeight="1" s="184">
      <c r="H693" s="33" t="n"/>
      <c r="I693" s="33" t="n"/>
      <c r="J693" s="33" t="n"/>
    </row>
    <row r="694" ht="15.75" customHeight="1" s="184">
      <c r="H694" s="33" t="n"/>
      <c r="I694" s="33" t="n"/>
      <c r="J694" s="33" t="n"/>
    </row>
    <row r="695" ht="15.75" customHeight="1" s="184">
      <c r="H695" s="33" t="n"/>
      <c r="I695" s="33" t="n"/>
      <c r="J695" s="33" t="n"/>
    </row>
    <row r="696" ht="15.75" customHeight="1" s="184">
      <c r="H696" s="33" t="n"/>
      <c r="I696" s="33" t="n"/>
      <c r="J696" s="33" t="n"/>
    </row>
    <row r="697" ht="15.75" customHeight="1" s="184">
      <c r="H697" s="33" t="n"/>
      <c r="I697" s="33" t="n"/>
      <c r="J697" s="33" t="n"/>
    </row>
    <row r="698" ht="15.75" customHeight="1" s="184">
      <c r="H698" s="33" t="n"/>
      <c r="I698" s="33" t="n"/>
      <c r="J698" s="33" t="n"/>
    </row>
    <row r="699" ht="15.75" customHeight="1" s="184">
      <c r="H699" s="33" t="n"/>
      <c r="I699" s="33" t="n"/>
      <c r="J699" s="33" t="n"/>
    </row>
    <row r="700" ht="15.75" customHeight="1" s="184">
      <c r="H700" s="33" t="n"/>
      <c r="I700" s="33" t="n"/>
      <c r="J700" s="33" t="n"/>
    </row>
    <row r="701" ht="15.75" customHeight="1" s="184">
      <c r="H701" s="33" t="n"/>
      <c r="I701" s="33" t="n"/>
      <c r="J701" s="33" t="n"/>
    </row>
    <row r="702" ht="15.75" customHeight="1" s="184">
      <c r="H702" s="33" t="n"/>
      <c r="I702" s="33" t="n"/>
      <c r="J702" s="33" t="n"/>
    </row>
    <row r="703" ht="15.75" customHeight="1" s="184">
      <c r="H703" s="33" t="n"/>
      <c r="I703" s="33" t="n"/>
      <c r="J703" s="33" t="n"/>
    </row>
    <row r="704" ht="15.75" customHeight="1" s="184">
      <c r="H704" s="33" t="n"/>
      <c r="I704" s="33" t="n"/>
      <c r="J704" s="33" t="n"/>
    </row>
    <row r="705" ht="15.75" customHeight="1" s="184">
      <c r="H705" s="33" t="n"/>
      <c r="I705" s="33" t="n"/>
      <c r="J705" s="33" t="n"/>
    </row>
    <row r="706" ht="15.75" customHeight="1" s="184">
      <c r="H706" s="33" t="n"/>
      <c r="I706" s="33" t="n"/>
      <c r="J706" s="33" t="n"/>
    </row>
    <row r="707" ht="15.75" customHeight="1" s="184">
      <c r="H707" s="33" t="n"/>
      <c r="I707" s="33" t="n"/>
      <c r="J707" s="33" t="n"/>
    </row>
    <row r="708" ht="15.75" customHeight="1" s="184">
      <c r="H708" s="33" t="n"/>
      <c r="I708" s="33" t="n"/>
      <c r="J708" s="33" t="n"/>
    </row>
    <row r="709" ht="15.75" customHeight="1" s="184">
      <c r="H709" s="33" t="n"/>
      <c r="I709" s="33" t="n"/>
      <c r="J709" s="33" t="n"/>
    </row>
    <row r="710" ht="15.75" customHeight="1" s="184">
      <c r="H710" s="33" t="n"/>
      <c r="I710" s="33" t="n"/>
      <c r="J710" s="33" t="n"/>
    </row>
    <row r="711" ht="15.75" customHeight="1" s="184">
      <c r="H711" s="33" t="n"/>
      <c r="I711" s="33" t="n"/>
      <c r="J711" s="33" t="n"/>
    </row>
    <row r="712" ht="15.75" customHeight="1" s="184">
      <c r="H712" s="33" t="n"/>
      <c r="I712" s="33" t="n"/>
      <c r="J712" s="33" t="n"/>
    </row>
    <row r="713" ht="15.75" customHeight="1" s="184">
      <c r="H713" s="33" t="n"/>
      <c r="I713" s="33" t="n"/>
      <c r="J713" s="33" t="n"/>
    </row>
    <row r="714" ht="15.75" customHeight="1" s="184">
      <c r="H714" s="33" t="n"/>
      <c r="I714" s="33" t="n"/>
      <c r="J714" s="33" t="n"/>
    </row>
    <row r="715" ht="15.75" customHeight="1" s="184">
      <c r="H715" s="33" t="n"/>
      <c r="I715" s="33" t="n"/>
      <c r="J715" s="33" t="n"/>
    </row>
    <row r="716" ht="15.75" customHeight="1" s="184">
      <c r="H716" s="33" t="n"/>
      <c r="I716" s="33" t="n"/>
      <c r="J716" s="33" t="n"/>
    </row>
    <row r="717" ht="15.75" customHeight="1" s="184">
      <c r="H717" s="33" t="n"/>
      <c r="I717" s="33" t="n"/>
      <c r="J717" s="33" t="n"/>
    </row>
    <row r="718" ht="15.75" customHeight="1" s="184">
      <c r="H718" s="33" t="n"/>
      <c r="I718" s="33" t="n"/>
      <c r="J718" s="33" t="n"/>
    </row>
    <row r="719" ht="15.75" customHeight="1" s="184">
      <c r="H719" s="33" t="n"/>
      <c r="I719" s="33" t="n"/>
      <c r="J719" s="33" t="n"/>
    </row>
    <row r="720" ht="15.75" customHeight="1" s="184">
      <c r="H720" s="33" t="n"/>
      <c r="I720" s="33" t="n"/>
      <c r="J720" s="33" t="n"/>
    </row>
    <row r="721" ht="15.75" customHeight="1" s="184">
      <c r="H721" s="33" t="n"/>
      <c r="I721" s="33" t="n"/>
      <c r="J721" s="33" t="n"/>
    </row>
    <row r="722" ht="15.75" customHeight="1" s="184">
      <c r="H722" s="33" t="n"/>
      <c r="I722" s="33" t="n"/>
      <c r="J722" s="33" t="n"/>
    </row>
    <row r="723" ht="15.75" customHeight="1" s="184">
      <c r="H723" s="33" t="n"/>
      <c r="I723" s="33" t="n"/>
      <c r="J723" s="33" t="n"/>
    </row>
    <row r="724" ht="15.75" customHeight="1" s="184">
      <c r="H724" s="33" t="n"/>
      <c r="I724" s="33" t="n"/>
      <c r="J724" s="33" t="n"/>
    </row>
    <row r="725" ht="15.75" customHeight="1" s="184">
      <c r="H725" s="33" t="n"/>
      <c r="I725" s="33" t="n"/>
      <c r="J725" s="33" t="n"/>
    </row>
    <row r="726" ht="15.75" customHeight="1" s="184">
      <c r="H726" s="33" t="n"/>
      <c r="I726" s="33" t="n"/>
      <c r="J726" s="33" t="n"/>
    </row>
    <row r="727" ht="15.75" customHeight="1" s="184">
      <c r="H727" s="33" t="n"/>
      <c r="I727" s="33" t="n"/>
      <c r="J727" s="33" t="n"/>
    </row>
    <row r="728" ht="15.75" customHeight="1" s="184">
      <c r="H728" s="33" t="n"/>
      <c r="I728" s="33" t="n"/>
      <c r="J728" s="33" t="n"/>
    </row>
    <row r="729" ht="15.75" customHeight="1" s="184">
      <c r="H729" s="33" t="n"/>
      <c r="I729" s="33" t="n"/>
      <c r="J729" s="33" t="n"/>
    </row>
    <row r="730" ht="15.75" customHeight="1" s="184">
      <c r="H730" s="33" t="n"/>
      <c r="I730" s="33" t="n"/>
      <c r="J730" s="33" t="n"/>
    </row>
    <row r="731" ht="15.75" customHeight="1" s="184">
      <c r="H731" s="33" t="n"/>
      <c r="I731" s="33" t="n"/>
      <c r="J731" s="33" t="n"/>
    </row>
    <row r="732" ht="15.75" customHeight="1" s="184">
      <c r="H732" s="33" t="n"/>
      <c r="I732" s="33" t="n"/>
      <c r="J732" s="33" t="n"/>
    </row>
    <row r="733" ht="15.75" customHeight="1" s="184">
      <c r="H733" s="33" t="n"/>
      <c r="I733" s="33" t="n"/>
      <c r="J733" s="33" t="n"/>
    </row>
    <row r="734" ht="15.75" customHeight="1" s="184">
      <c r="H734" s="33" t="n"/>
      <c r="I734" s="33" t="n"/>
      <c r="J734" s="33" t="n"/>
    </row>
    <row r="735" ht="15.75" customHeight="1" s="184">
      <c r="H735" s="33" t="n"/>
      <c r="I735" s="33" t="n"/>
      <c r="J735" s="33" t="n"/>
    </row>
    <row r="736" ht="15.75" customHeight="1" s="184">
      <c r="H736" s="33" t="n"/>
      <c r="I736" s="33" t="n"/>
      <c r="J736" s="33" t="n"/>
    </row>
    <row r="737" ht="15.75" customHeight="1" s="184">
      <c r="H737" s="33" t="n"/>
      <c r="I737" s="33" t="n"/>
      <c r="J737" s="33" t="n"/>
    </row>
    <row r="738" ht="15.75" customHeight="1" s="184">
      <c r="H738" s="33" t="n"/>
      <c r="I738" s="33" t="n"/>
      <c r="J738" s="33" t="n"/>
    </row>
    <row r="739" ht="15.75" customHeight="1" s="184">
      <c r="H739" s="33" t="n"/>
      <c r="I739" s="33" t="n"/>
      <c r="J739" s="33" t="n"/>
    </row>
    <row r="740" ht="15.75" customHeight="1" s="184">
      <c r="H740" s="33" t="n"/>
      <c r="I740" s="33" t="n"/>
      <c r="J740" s="33" t="n"/>
    </row>
    <row r="741" ht="15.75" customHeight="1" s="184">
      <c r="H741" s="33" t="n"/>
      <c r="I741" s="33" t="n"/>
      <c r="J741" s="33" t="n"/>
    </row>
    <row r="742" ht="15.75" customHeight="1" s="184">
      <c r="H742" s="33" t="n"/>
      <c r="I742" s="33" t="n"/>
      <c r="J742" s="33" t="n"/>
    </row>
    <row r="743" ht="15.75" customHeight="1" s="184">
      <c r="H743" s="33" t="n"/>
      <c r="I743" s="33" t="n"/>
      <c r="J743" s="33" t="n"/>
    </row>
    <row r="744" ht="15.75" customHeight="1" s="184">
      <c r="H744" s="33" t="n"/>
      <c r="I744" s="33" t="n"/>
      <c r="J744" s="33" t="n"/>
    </row>
    <row r="745" ht="15.75" customHeight="1" s="184">
      <c r="H745" s="33" t="n"/>
      <c r="I745" s="33" t="n"/>
      <c r="J745" s="33" t="n"/>
    </row>
    <row r="746" ht="15.75" customHeight="1" s="184">
      <c r="H746" s="33" t="n"/>
      <c r="I746" s="33" t="n"/>
      <c r="J746" s="33" t="n"/>
    </row>
    <row r="747" ht="15.75" customHeight="1" s="184">
      <c r="H747" s="33" t="n"/>
      <c r="I747" s="33" t="n"/>
      <c r="J747" s="33" t="n"/>
    </row>
    <row r="748" ht="15.75" customHeight="1" s="184">
      <c r="H748" s="33" t="n"/>
      <c r="I748" s="33" t="n"/>
      <c r="J748" s="33" t="n"/>
    </row>
    <row r="749" ht="15.75" customHeight="1" s="184">
      <c r="H749" s="33" t="n"/>
      <c r="I749" s="33" t="n"/>
      <c r="J749" s="33" t="n"/>
    </row>
    <row r="750" ht="15.75" customHeight="1" s="184">
      <c r="H750" s="33" t="n"/>
      <c r="I750" s="33" t="n"/>
      <c r="J750" s="33" t="n"/>
    </row>
    <row r="751" ht="15.75" customHeight="1" s="184">
      <c r="H751" s="33" t="n"/>
      <c r="I751" s="33" t="n"/>
      <c r="J751" s="33" t="n"/>
    </row>
    <row r="752" ht="15.75" customHeight="1" s="184">
      <c r="H752" s="33" t="n"/>
      <c r="I752" s="33" t="n"/>
      <c r="J752" s="33" t="n"/>
    </row>
    <row r="753" ht="15.75" customHeight="1" s="184">
      <c r="H753" s="33" t="n"/>
      <c r="I753" s="33" t="n"/>
      <c r="J753" s="33" t="n"/>
    </row>
    <row r="754" ht="15.75" customHeight="1" s="184">
      <c r="H754" s="33" t="n"/>
      <c r="I754" s="33" t="n"/>
      <c r="J754" s="33" t="n"/>
    </row>
    <row r="755" ht="15.75" customHeight="1" s="184">
      <c r="H755" s="33" t="n"/>
      <c r="I755" s="33" t="n"/>
      <c r="J755" s="33" t="n"/>
    </row>
    <row r="756" ht="15.75" customHeight="1" s="184">
      <c r="H756" s="33" t="n"/>
      <c r="I756" s="33" t="n"/>
      <c r="J756" s="33" t="n"/>
    </row>
    <row r="757" ht="15.75" customHeight="1" s="184">
      <c r="H757" s="33" t="n"/>
      <c r="I757" s="33" t="n"/>
      <c r="J757" s="33" t="n"/>
    </row>
    <row r="758" ht="15.75" customHeight="1" s="184">
      <c r="H758" s="33" t="n"/>
      <c r="I758" s="33" t="n"/>
      <c r="J758" s="33" t="n"/>
    </row>
    <row r="759" ht="15.75" customHeight="1" s="184">
      <c r="H759" s="33" t="n"/>
      <c r="I759" s="33" t="n"/>
      <c r="J759" s="33" t="n"/>
    </row>
    <row r="760" ht="15.75" customHeight="1" s="184">
      <c r="H760" s="33" t="n"/>
      <c r="I760" s="33" t="n"/>
      <c r="J760" s="33" t="n"/>
    </row>
    <row r="761" ht="15.75" customHeight="1" s="184">
      <c r="H761" s="33" t="n"/>
      <c r="I761" s="33" t="n"/>
      <c r="J761" s="33" t="n"/>
    </row>
    <row r="762" ht="15.75" customHeight="1" s="184">
      <c r="H762" s="33" t="n"/>
      <c r="I762" s="33" t="n"/>
      <c r="J762" s="33" t="n"/>
    </row>
    <row r="763" ht="15.75" customHeight="1" s="184">
      <c r="H763" s="33" t="n"/>
      <c r="I763" s="33" t="n"/>
      <c r="J763" s="33" t="n"/>
    </row>
    <row r="764" ht="15.75" customHeight="1" s="184">
      <c r="H764" s="33" t="n"/>
      <c r="I764" s="33" t="n"/>
      <c r="J764" s="33" t="n"/>
    </row>
    <row r="765" ht="15.75" customHeight="1" s="184">
      <c r="H765" s="33" t="n"/>
      <c r="I765" s="33" t="n"/>
      <c r="J765" s="33" t="n"/>
    </row>
    <row r="766" ht="15.75" customHeight="1" s="184">
      <c r="H766" s="33" t="n"/>
      <c r="I766" s="33" t="n"/>
      <c r="J766" s="33" t="n"/>
    </row>
    <row r="767" ht="15.75" customHeight="1" s="184">
      <c r="H767" s="33" t="n"/>
      <c r="I767" s="33" t="n"/>
      <c r="J767" s="33" t="n"/>
    </row>
    <row r="768" ht="15.75" customHeight="1" s="184">
      <c r="H768" s="33" t="n"/>
      <c r="I768" s="33" t="n"/>
      <c r="J768" s="33" t="n"/>
    </row>
    <row r="769" ht="15.75" customHeight="1" s="184">
      <c r="H769" s="33" t="n"/>
      <c r="I769" s="33" t="n"/>
      <c r="J769" s="33" t="n"/>
    </row>
    <row r="770" ht="15.75" customHeight="1" s="184">
      <c r="H770" s="33" t="n"/>
      <c r="I770" s="33" t="n"/>
      <c r="J770" s="33" t="n"/>
    </row>
    <row r="771" ht="15.75" customHeight="1" s="184">
      <c r="H771" s="33" t="n"/>
      <c r="I771" s="33" t="n"/>
      <c r="J771" s="33" t="n"/>
    </row>
    <row r="772" ht="15.75" customHeight="1" s="184">
      <c r="H772" s="33" t="n"/>
      <c r="I772" s="33" t="n"/>
      <c r="J772" s="33" t="n"/>
    </row>
    <row r="773" ht="15.75" customHeight="1" s="184">
      <c r="H773" s="33" t="n"/>
      <c r="I773" s="33" t="n"/>
      <c r="J773" s="33" t="n"/>
    </row>
    <row r="774" ht="15.75" customHeight="1" s="184">
      <c r="H774" s="33" t="n"/>
      <c r="I774" s="33" t="n"/>
      <c r="J774" s="33" t="n"/>
    </row>
    <row r="775" ht="15.75" customHeight="1" s="184">
      <c r="H775" s="33" t="n"/>
      <c r="I775" s="33" t="n"/>
      <c r="J775" s="33" t="n"/>
    </row>
    <row r="776" ht="15.75" customHeight="1" s="184">
      <c r="H776" s="33" t="n"/>
      <c r="I776" s="33" t="n"/>
      <c r="J776" s="33" t="n"/>
    </row>
    <row r="777" ht="15.75" customHeight="1" s="184">
      <c r="H777" s="33" t="n"/>
      <c r="I777" s="33" t="n"/>
      <c r="J777" s="33" t="n"/>
    </row>
    <row r="778" ht="15.75" customHeight="1" s="184">
      <c r="H778" s="33" t="n"/>
      <c r="I778" s="33" t="n"/>
      <c r="J778" s="33" t="n"/>
    </row>
    <row r="779" ht="15.75" customHeight="1" s="184">
      <c r="H779" s="33" t="n"/>
      <c r="I779" s="33" t="n"/>
      <c r="J779" s="33" t="n"/>
    </row>
    <row r="780" ht="15.75" customHeight="1" s="184">
      <c r="H780" s="33" t="n"/>
      <c r="I780" s="33" t="n"/>
      <c r="J780" s="33" t="n"/>
    </row>
    <row r="781" ht="15.75" customHeight="1" s="184">
      <c r="H781" s="33" t="n"/>
      <c r="I781" s="33" t="n"/>
      <c r="J781" s="33" t="n"/>
    </row>
    <row r="782" ht="15.75" customHeight="1" s="184">
      <c r="H782" s="33" t="n"/>
      <c r="I782" s="33" t="n"/>
      <c r="J782" s="33" t="n"/>
    </row>
    <row r="783" ht="15.75" customHeight="1" s="184">
      <c r="H783" s="33" t="n"/>
      <c r="I783" s="33" t="n"/>
      <c r="J783" s="33" t="n"/>
    </row>
    <row r="784" ht="15.75" customHeight="1" s="184">
      <c r="H784" s="33" t="n"/>
      <c r="I784" s="33" t="n"/>
      <c r="J784" s="33" t="n"/>
    </row>
    <row r="785" ht="15.75" customHeight="1" s="184">
      <c r="H785" s="33" t="n"/>
      <c r="I785" s="33" t="n"/>
      <c r="J785" s="33" t="n"/>
    </row>
    <row r="786" ht="15.75" customHeight="1" s="184">
      <c r="H786" s="33" t="n"/>
      <c r="I786" s="33" t="n"/>
      <c r="J786" s="33" t="n"/>
    </row>
    <row r="787" ht="15.75" customHeight="1" s="184">
      <c r="H787" s="33" t="n"/>
      <c r="I787" s="33" t="n"/>
      <c r="J787" s="33" t="n"/>
    </row>
    <row r="788" ht="15.75" customHeight="1" s="184">
      <c r="H788" s="33" t="n"/>
      <c r="I788" s="33" t="n"/>
      <c r="J788" s="33" t="n"/>
    </row>
    <row r="789" ht="15.75" customHeight="1" s="184">
      <c r="H789" s="33" t="n"/>
      <c r="I789" s="33" t="n"/>
      <c r="J789" s="33" t="n"/>
    </row>
    <row r="790" ht="15.75" customHeight="1" s="184">
      <c r="H790" s="33" t="n"/>
      <c r="I790" s="33" t="n"/>
      <c r="J790" s="33" t="n"/>
    </row>
    <row r="791" ht="15.75" customHeight="1" s="184">
      <c r="H791" s="33" t="n"/>
      <c r="I791" s="33" t="n"/>
      <c r="J791" s="33" t="n"/>
    </row>
    <row r="792" ht="15.75" customHeight="1" s="184">
      <c r="H792" s="33" t="n"/>
      <c r="I792" s="33" t="n"/>
      <c r="J792" s="33" t="n"/>
    </row>
    <row r="793" ht="15.75" customHeight="1" s="184">
      <c r="H793" s="33" t="n"/>
      <c r="I793" s="33" t="n"/>
      <c r="J793" s="33" t="n"/>
    </row>
    <row r="794" ht="15.75" customHeight="1" s="184">
      <c r="H794" s="33" t="n"/>
      <c r="I794" s="33" t="n"/>
      <c r="J794" s="33" t="n"/>
    </row>
    <row r="795" ht="15.75" customHeight="1" s="184">
      <c r="H795" s="33" t="n"/>
      <c r="I795" s="33" t="n"/>
      <c r="J795" s="33" t="n"/>
    </row>
    <row r="796" ht="15.75" customHeight="1" s="184">
      <c r="H796" s="33" t="n"/>
      <c r="I796" s="33" t="n"/>
      <c r="J796" s="33" t="n"/>
    </row>
    <row r="797" ht="15.75" customHeight="1" s="184">
      <c r="H797" s="33" t="n"/>
      <c r="I797" s="33" t="n"/>
      <c r="J797" s="33" t="n"/>
    </row>
    <row r="798" ht="15.75" customHeight="1" s="184">
      <c r="H798" s="33" t="n"/>
      <c r="I798" s="33" t="n"/>
      <c r="J798" s="33" t="n"/>
    </row>
    <row r="799" ht="15.75" customHeight="1" s="184">
      <c r="H799" s="33" t="n"/>
      <c r="I799" s="33" t="n"/>
      <c r="J799" s="33" t="n"/>
    </row>
    <row r="800" ht="15.75" customHeight="1" s="184">
      <c r="H800" s="33" t="n"/>
      <c r="I800" s="33" t="n"/>
      <c r="J800" s="33" t="n"/>
    </row>
    <row r="801" ht="15.75" customHeight="1" s="184">
      <c r="H801" s="33" t="n"/>
      <c r="I801" s="33" t="n"/>
      <c r="J801" s="33" t="n"/>
    </row>
    <row r="802" ht="15.75" customHeight="1" s="184">
      <c r="H802" s="33" t="n"/>
      <c r="I802" s="33" t="n"/>
      <c r="J802" s="33" t="n"/>
    </row>
    <row r="803" ht="15.75" customHeight="1" s="184">
      <c r="H803" s="33" t="n"/>
      <c r="I803" s="33" t="n"/>
      <c r="J803" s="33" t="n"/>
    </row>
    <row r="804" ht="15.75" customHeight="1" s="184">
      <c r="H804" s="33" t="n"/>
      <c r="I804" s="33" t="n"/>
      <c r="J804" s="33" t="n"/>
    </row>
    <row r="805" ht="15.75" customHeight="1" s="184">
      <c r="H805" s="33" t="n"/>
      <c r="I805" s="33" t="n"/>
      <c r="J805" s="33" t="n"/>
    </row>
    <row r="806" ht="15.75" customHeight="1" s="184">
      <c r="H806" s="33" t="n"/>
      <c r="I806" s="33" t="n"/>
      <c r="J806" s="33" t="n"/>
    </row>
    <row r="807" ht="15.75" customHeight="1" s="184">
      <c r="H807" s="33" t="n"/>
      <c r="I807" s="33" t="n"/>
      <c r="J807" s="33" t="n"/>
    </row>
    <row r="808" ht="15.75" customHeight="1" s="184">
      <c r="H808" s="33" t="n"/>
      <c r="I808" s="33" t="n"/>
      <c r="J808" s="33" t="n"/>
    </row>
    <row r="809" ht="15.75" customHeight="1" s="184">
      <c r="H809" s="33" t="n"/>
      <c r="I809" s="33" t="n"/>
      <c r="J809" s="33" t="n"/>
    </row>
    <row r="810" ht="15.75" customHeight="1" s="184">
      <c r="H810" s="33" t="n"/>
      <c r="I810" s="33" t="n"/>
      <c r="J810" s="33" t="n"/>
    </row>
    <row r="811" ht="15.75" customHeight="1" s="184">
      <c r="H811" s="33" t="n"/>
      <c r="I811" s="33" t="n"/>
      <c r="J811" s="33" t="n"/>
    </row>
    <row r="812" ht="15.75" customHeight="1" s="184">
      <c r="H812" s="33" t="n"/>
      <c r="I812" s="33" t="n"/>
      <c r="J812" s="33" t="n"/>
    </row>
    <row r="813" ht="15.75" customHeight="1" s="184">
      <c r="H813" s="33" t="n"/>
      <c r="I813" s="33" t="n"/>
      <c r="J813" s="33" t="n"/>
    </row>
    <row r="814" ht="15.75" customHeight="1" s="184">
      <c r="H814" s="33" t="n"/>
      <c r="I814" s="33" t="n"/>
      <c r="J814" s="33" t="n"/>
    </row>
    <row r="815" ht="15.75" customHeight="1" s="184">
      <c r="H815" s="33" t="n"/>
      <c r="I815" s="33" t="n"/>
      <c r="J815" s="33" t="n"/>
    </row>
    <row r="816" ht="15.75" customHeight="1" s="184">
      <c r="H816" s="33" t="n"/>
      <c r="I816" s="33" t="n"/>
      <c r="J816" s="33" t="n"/>
    </row>
    <row r="817" ht="15.75" customHeight="1" s="184">
      <c r="H817" s="33" t="n"/>
      <c r="I817" s="33" t="n"/>
      <c r="J817" s="33" t="n"/>
    </row>
    <row r="818" ht="15.75" customHeight="1" s="184">
      <c r="H818" s="33" t="n"/>
      <c r="I818" s="33" t="n"/>
      <c r="J818" s="33" t="n"/>
    </row>
    <row r="819" ht="15.75" customHeight="1" s="184">
      <c r="H819" s="33" t="n"/>
      <c r="I819" s="33" t="n"/>
      <c r="J819" s="33" t="n"/>
    </row>
    <row r="820" ht="15.75" customHeight="1" s="184">
      <c r="H820" s="33" t="n"/>
      <c r="I820" s="33" t="n"/>
      <c r="J820" s="33" t="n"/>
    </row>
    <row r="821" ht="15.75" customHeight="1" s="184">
      <c r="H821" s="33" t="n"/>
      <c r="I821" s="33" t="n"/>
      <c r="J821" s="33" t="n"/>
    </row>
    <row r="822" ht="15.75" customHeight="1" s="184">
      <c r="H822" s="33" t="n"/>
      <c r="I822" s="33" t="n"/>
      <c r="J822" s="33" t="n"/>
    </row>
    <row r="823" ht="15.75" customHeight="1" s="184">
      <c r="H823" s="33" t="n"/>
      <c r="I823" s="33" t="n"/>
      <c r="J823" s="33" t="n"/>
    </row>
    <row r="824" ht="15.75" customHeight="1" s="184">
      <c r="H824" s="33" t="n"/>
      <c r="I824" s="33" t="n"/>
      <c r="J824" s="33" t="n"/>
    </row>
    <row r="825" ht="15.75" customHeight="1" s="184">
      <c r="H825" s="33" t="n"/>
      <c r="I825" s="33" t="n"/>
      <c r="J825" s="33" t="n"/>
    </row>
    <row r="826" ht="15.75" customHeight="1" s="184">
      <c r="H826" s="33" t="n"/>
      <c r="I826" s="33" t="n"/>
      <c r="J826" s="33" t="n"/>
    </row>
    <row r="827" ht="15.75" customHeight="1" s="184">
      <c r="H827" s="33" t="n"/>
      <c r="I827" s="33" t="n"/>
      <c r="J827" s="33" t="n"/>
    </row>
    <row r="828" ht="15.75" customHeight="1" s="184">
      <c r="H828" s="33" t="n"/>
      <c r="I828" s="33" t="n"/>
      <c r="J828" s="33" t="n"/>
    </row>
    <row r="829" ht="15.75" customHeight="1" s="184">
      <c r="H829" s="33" t="n"/>
      <c r="I829" s="33" t="n"/>
      <c r="J829" s="33" t="n"/>
    </row>
    <row r="830" ht="15.75" customHeight="1" s="184">
      <c r="H830" s="33" t="n"/>
      <c r="I830" s="33" t="n"/>
      <c r="J830" s="33" t="n"/>
    </row>
    <row r="831" ht="15.75" customHeight="1" s="184">
      <c r="H831" s="33" t="n"/>
      <c r="I831" s="33" t="n"/>
      <c r="J831" s="33" t="n"/>
    </row>
    <row r="832" ht="15.75" customHeight="1" s="184">
      <c r="H832" s="33" t="n"/>
      <c r="I832" s="33" t="n"/>
      <c r="J832" s="33" t="n"/>
    </row>
    <row r="833" ht="15.75" customHeight="1" s="184">
      <c r="H833" s="33" t="n"/>
      <c r="I833" s="33" t="n"/>
      <c r="J833" s="33" t="n"/>
    </row>
    <row r="834" ht="15.75" customHeight="1" s="184">
      <c r="H834" s="33" t="n"/>
      <c r="I834" s="33" t="n"/>
      <c r="J834" s="33" t="n"/>
    </row>
    <row r="835" ht="15.75" customHeight="1" s="184">
      <c r="H835" s="33" t="n"/>
      <c r="I835" s="33" t="n"/>
      <c r="J835" s="33" t="n"/>
    </row>
    <row r="836" ht="15.75" customHeight="1" s="184">
      <c r="H836" s="33" t="n"/>
      <c r="I836" s="33" t="n"/>
      <c r="J836" s="33" t="n"/>
    </row>
    <row r="837" ht="15.75" customHeight="1" s="184">
      <c r="H837" s="33" t="n"/>
      <c r="I837" s="33" t="n"/>
      <c r="J837" s="33" t="n"/>
    </row>
    <row r="838" ht="15.75" customHeight="1" s="184">
      <c r="H838" s="33" t="n"/>
      <c r="I838" s="33" t="n"/>
      <c r="J838" s="33" t="n"/>
    </row>
    <row r="839" ht="15.75" customHeight="1" s="184">
      <c r="H839" s="33" t="n"/>
      <c r="I839" s="33" t="n"/>
      <c r="J839" s="33" t="n"/>
    </row>
    <row r="840" ht="15.75" customHeight="1" s="184">
      <c r="H840" s="33" t="n"/>
      <c r="I840" s="33" t="n"/>
      <c r="J840" s="33" t="n"/>
    </row>
    <row r="841" ht="15.75" customHeight="1" s="184">
      <c r="H841" s="33" t="n"/>
      <c r="I841" s="33" t="n"/>
      <c r="J841" s="33" t="n"/>
    </row>
    <row r="842" ht="15.75" customHeight="1" s="184">
      <c r="H842" s="33" t="n"/>
      <c r="I842" s="33" t="n"/>
      <c r="J842" s="33" t="n"/>
    </row>
    <row r="843" ht="15.75" customHeight="1" s="184">
      <c r="H843" s="33" t="n"/>
      <c r="I843" s="33" t="n"/>
      <c r="J843" s="33" t="n"/>
    </row>
    <row r="844" ht="15.75" customHeight="1" s="184">
      <c r="H844" s="33" t="n"/>
      <c r="I844" s="33" t="n"/>
      <c r="J844" s="33" t="n"/>
    </row>
    <row r="845" ht="15.75" customHeight="1" s="184">
      <c r="H845" s="33" t="n"/>
      <c r="I845" s="33" t="n"/>
      <c r="J845" s="33" t="n"/>
    </row>
    <row r="846" ht="15.75" customHeight="1" s="184">
      <c r="H846" s="33" t="n"/>
      <c r="I846" s="33" t="n"/>
      <c r="J846" s="33" t="n"/>
    </row>
    <row r="847" ht="15.75" customHeight="1" s="184">
      <c r="H847" s="33" t="n"/>
      <c r="I847" s="33" t="n"/>
      <c r="J847" s="33" t="n"/>
    </row>
    <row r="848" ht="15.75" customHeight="1" s="184">
      <c r="H848" s="33" t="n"/>
      <c r="I848" s="33" t="n"/>
      <c r="J848" s="33" t="n"/>
    </row>
    <row r="849" ht="15.75" customHeight="1" s="184">
      <c r="H849" s="33" t="n"/>
      <c r="I849" s="33" t="n"/>
      <c r="J849" s="33" t="n"/>
    </row>
    <row r="850" ht="15.75" customHeight="1" s="184">
      <c r="H850" s="33" t="n"/>
      <c r="I850" s="33" t="n"/>
      <c r="J850" s="33" t="n"/>
    </row>
    <row r="851" ht="15.75" customHeight="1" s="184">
      <c r="H851" s="33" t="n"/>
      <c r="I851" s="33" t="n"/>
      <c r="J851" s="33" t="n"/>
    </row>
    <row r="852" ht="15.75" customHeight="1" s="184">
      <c r="H852" s="33" t="n"/>
      <c r="I852" s="33" t="n"/>
      <c r="J852" s="33" t="n"/>
    </row>
    <row r="853" ht="15.75" customHeight="1" s="184">
      <c r="H853" s="33" t="n"/>
      <c r="I853" s="33" t="n"/>
      <c r="J853" s="33" t="n"/>
    </row>
    <row r="854" ht="15.75" customHeight="1" s="184">
      <c r="H854" s="33" t="n"/>
      <c r="I854" s="33" t="n"/>
      <c r="J854" s="33" t="n"/>
    </row>
    <row r="855" ht="15.75" customHeight="1" s="184">
      <c r="H855" s="33" t="n"/>
      <c r="I855" s="33" t="n"/>
      <c r="J855" s="33" t="n"/>
    </row>
    <row r="856" ht="15.75" customHeight="1" s="184">
      <c r="H856" s="33" t="n"/>
      <c r="I856" s="33" t="n"/>
      <c r="J856" s="33" t="n"/>
    </row>
    <row r="857" ht="15.75" customHeight="1" s="184">
      <c r="H857" s="33" t="n"/>
      <c r="I857" s="33" t="n"/>
      <c r="J857" s="33" t="n"/>
    </row>
    <row r="858" ht="15.75" customHeight="1" s="184">
      <c r="H858" s="33" t="n"/>
      <c r="I858" s="33" t="n"/>
      <c r="J858" s="33" t="n"/>
    </row>
    <row r="859" ht="15.75" customHeight="1" s="184">
      <c r="H859" s="33" t="n"/>
      <c r="I859" s="33" t="n"/>
      <c r="J859" s="33" t="n"/>
    </row>
    <row r="860" ht="15.75" customHeight="1" s="184">
      <c r="H860" s="33" t="n"/>
      <c r="I860" s="33" t="n"/>
      <c r="J860" s="33" t="n"/>
    </row>
    <row r="861" ht="15.75" customHeight="1" s="184">
      <c r="H861" s="33" t="n"/>
      <c r="I861" s="33" t="n"/>
      <c r="J861" s="33" t="n"/>
    </row>
    <row r="862" ht="15.75" customHeight="1" s="184">
      <c r="H862" s="33" t="n"/>
      <c r="I862" s="33" t="n"/>
      <c r="J862" s="33" t="n"/>
    </row>
    <row r="863" ht="15.75" customHeight="1" s="184">
      <c r="H863" s="33" t="n"/>
      <c r="I863" s="33" t="n"/>
      <c r="J863" s="33" t="n"/>
    </row>
    <row r="864" ht="15.75" customHeight="1" s="184">
      <c r="H864" s="33" t="n"/>
      <c r="I864" s="33" t="n"/>
      <c r="J864" s="33" t="n"/>
    </row>
    <row r="865" ht="15.75" customHeight="1" s="184">
      <c r="H865" s="33" t="n"/>
      <c r="I865" s="33" t="n"/>
      <c r="J865" s="33" t="n"/>
    </row>
    <row r="866" ht="15.75" customHeight="1" s="184">
      <c r="H866" s="33" t="n"/>
      <c r="I866" s="33" t="n"/>
      <c r="J866" s="33" t="n"/>
    </row>
    <row r="867" ht="15.75" customHeight="1" s="184">
      <c r="H867" s="33" t="n"/>
      <c r="I867" s="33" t="n"/>
      <c r="J867" s="33" t="n"/>
    </row>
    <row r="868" ht="15.75" customHeight="1" s="184">
      <c r="H868" s="33" t="n"/>
      <c r="I868" s="33" t="n"/>
      <c r="J868" s="33" t="n"/>
    </row>
    <row r="869" ht="15.75" customHeight="1" s="184">
      <c r="H869" s="33" t="n"/>
      <c r="I869" s="33" t="n"/>
      <c r="J869" s="33" t="n"/>
    </row>
    <row r="870" ht="15.75" customHeight="1" s="184">
      <c r="H870" s="33" t="n"/>
      <c r="I870" s="33" t="n"/>
      <c r="J870" s="33" t="n"/>
    </row>
    <row r="871" ht="15.75" customHeight="1" s="184">
      <c r="H871" s="33" t="n"/>
      <c r="I871" s="33" t="n"/>
      <c r="J871" s="33" t="n"/>
    </row>
    <row r="872" ht="15.75" customHeight="1" s="184">
      <c r="H872" s="33" t="n"/>
      <c r="I872" s="33" t="n"/>
      <c r="J872" s="33" t="n"/>
    </row>
    <row r="873" ht="15.75" customHeight="1" s="184">
      <c r="H873" s="33" t="n"/>
      <c r="I873" s="33" t="n"/>
      <c r="J873" s="33" t="n"/>
    </row>
    <row r="874" ht="15.75" customHeight="1" s="184">
      <c r="H874" s="33" t="n"/>
      <c r="I874" s="33" t="n"/>
      <c r="J874" s="33" t="n"/>
    </row>
    <row r="875" ht="15.75" customHeight="1" s="184">
      <c r="H875" s="33" t="n"/>
      <c r="I875" s="33" t="n"/>
      <c r="J875" s="33" t="n"/>
    </row>
    <row r="876" ht="15.75" customHeight="1" s="184">
      <c r="H876" s="33" t="n"/>
      <c r="I876" s="33" t="n"/>
      <c r="J876" s="33" t="n"/>
    </row>
    <row r="877" ht="15.75" customHeight="1" s="184">
      <c r="H877" s="33" t="n"/>
      <c r="I877" s="33" t="n"/>
      <c r="J877" s="33" t="n"/>
    </row>
    <row r="878" ht="15.75" customHeight="1" s="184">
      <c r="H878" s="33" t="n"/>
      <c r="I878" s="33" t="n"/>
      <c r="J878" s="33" t="n"/>
    </row>
    <row r="879" ht="15.75" customHeight="1" s="184">
      <c r="H879" s="33" t="n"/>
      <c r="I879" s="33" t="n"/>
      <c r="J879" s="33" t="n"/>
    </row>
    <row r="880" ht="15.75" customHeight="1" s="184">
      <c r="H880" s="33" t="n"/>
      <c r="I880" s="33" t="n"/>
      <c r="J880" s="33" t="n"/>
    </row>
    <row r="881" ht="15.75" customHeight="1" s="184">
      <c r="H881" s="33" t="n"/>
      <c r="I881" s="33" t="n"/>
      <c r="J881" s="33" t="n"/>
    </row>
    <row r="882" ht="15.75" customHeight="1" s="184">
      <c r="H882" s="33" t="n"/>
      <c r="I882" s="33" t="n"/>
      <c r="J882" s="33" t="n"/>
    </row>
    <row r="883" ht="15.75" customHeight="1" s="184">
      <c r="H883" s="33" t="n"/>
      <c r="I883" s="33" t="n"/>
      <c r="J883" s="33" t="n"/>
    </row>
    <row r="884" ht="15.75" customHeight="1" s="184">
      <c r="H884" s="33" t="n"/>
      <c r="I884" s="33" t="n"/>
      <c r="J884" s="33" t="n"/>
    </row>
    <row r="885" ht="15.75" customHeight="1" s="184">
      <c r="H885" s="33" t="n"/>
      <c r="I885" s="33" t="n"/>
      <c r="J885" s="33" t="n"/>
    </row>
    <row r="886" ht="15.75" customHeight="1" s="184">
      <c r="H886" s="33" t="n"/>
      <c r="I886" s="33" t="n"/>
      <c r="J886" s="33" t="n"/>
    </row>
    <row r="887" ht="15.75" customHeight="1" s="184">
      <c r="H887" s="33" t="n"/>
      <c r="I887" s="33" t="n"/>
      <c r="J887" s="33" t="n"/>
    </row>
    <row r="888" ht="15.75" customHeight="1" s="184">
      <c r="H888" s="33" t="n"/>
      <c r="I888" s="33" t="n"/>
      <c r="J888" s="33" t="n"/>
    </row>
    <row r="889" ht="15.75" customHeight="1" s="184">
      <c r="H889" s="33" t="n"/>
      <c r="I889" s="33" t="n"/>
      <c r="J889" s="33" t="n"/>
    </row>
    <row r="890" ht="15.75" customHeight="1" s="184">
      <c r="H890" s="33" t="n"/>
      <c r="I890" s="33" t="n"/>
      <c r="J890" s="33" t="n"/>
    </row>
    <row r="891" ht="15.75" customHeight="1" s="184">
      <c r="H891" s="33" t="n"/>
      <c r="I891" s="33" t="n"/>
      <c r="J891" s="33" t="n"/>
    </row>
    <row r="892" ht="15.75" customHeight="1" s="184">
      <c r="H892" s="33" t="n"/>
      <c r="I892" s="33" t="n"/>
      <c r="J892" s="33" t="n"/>
    </row>
    <row r="893" ht="15.75" customHeight="1" s="184">
      <c r="H893" s="33" t="n"/>
      <c r="I893" s="33" t="n"/>
      <c r="J893" s="33" t="n"/>
    </row>
    <row r="894" ht="15.75" customHeight="1" s="184">
      <c r="H894" s="33" t="n"/>
      <c r="I894" s="33" t="n"/>
      <c r="J894" s="33" t="n"/>
    </row>
    <row r="895" ht="15.75" customHeight="1" s="184">
      <c r="H895" s="33" t="n"/>
      <c r="I895" s="33" t="n"/>
      <c r="J895" s="33" t="n"/>
    </row>
    <row r="896" ht="15.75" customHeight="1" s="184">
      <c r="H896" s="33" t="n"/>
      <c r="I896" s="33" t="n"/>
      <c r="J896" s="33" t="n"/>
    </row>
    <row r="897" ht="15.75" customHeight="1" s="184">
      <c r="H897" s="33" t="n"/>
      <c r="I897" s="33" t="n"/>
      <c r="J897" s="33" t="n"/>
    </row>
    <row r="898" ht="15.75" customHeight="1" s="184">
      <c r="H898" s="33" t="n"/>
      <c r="I898" s="33" t="n"/>
      <c r="J898" s="33" t="n"/>
    </row>
    <row r="899" ht="15.75" customHeight="1" s="184">
      <c r="H899" s="33" t="n"/>
      <c r="I899" s="33" t="n"/>
      <c r="J899" s="33" t="n"/>
    </row>
    <row r="900" ht="15.75" customHeight="1" s="184">
      <c r="H900" s="33" t="n"/>
      <c r="I900" s="33" t="n"/>
      <c r="J900" s="33" t="n"/>
    </row>
    <row r="901" ht="15.75" customHeight="1" s="184">
      <c r="H901" s="33" t="n"/>
      <c r="I901" s="33" t="n"/>
      <c r="J901" s="33" t="n"/>
    </row>
    <row r="902" ht="15.75" customHeight="1" s="184">
      <c r="H902" s="33" t="n"/>
      <c r="I902" s="33" t="n"/>
      <c r="J902" s="33" t="n"/>
    </row>
    <row r="903" ht="15.75" customHeight="1" s="184">
      <c r="H903" s="33" t="n"/>
      <c r="I903" s="33" t="n"/>
      <c r="J903" s="33" t="n"/>
    </row>
    <row r="904" ht="15.75" customHeight="1" s="184">
      <c r="H904" s="33" t="n"/>
      <c r="I904" s="33" t="n"/>
      <c r="J904" s="33" t="n"/>
    </row>
    <row r="905" ht="15.75" customHeight="1" s="184">
      <c r="H905" s="33" t="n"/>
      <c r="I905" s="33" t="n"/>
      <c r="J905" s="33" t="n"/>
    </row>
    <row r="906" ht="15.75" customHeight="1" s="184">
      <c r="H906" s="33" t="n"/>
      <c r="I906" s="33" t="n"/>
      <c r="J906" s="33" t="n"/>
    </row>
    <row r="907" ht="15.75" customHeight="1" s="184">
      <c r="H907" s="33" t="n"/>
      <c r="I907" s="33" t="n"/>
      <c r="J907" s="33" t="n"/>
    </row>
    <row r="908" ht="15.75" customHeight="1" s="184">
      <c r="H908" s="33" t="n"/>
      <c r="I908" s="33" t="n"/>
      <c r="J908" s="33" t="n"/>
    </row>
    <row r="909" ht="15.75" customHeight="1" s="184">
      <c r="H909" s="33" t="n"/>
      <c r="I909" s="33" t="n"/>
      <c r="J909" s="33" t="n"/>
    </row>
    <row r="910" ht="15.75" customHeight="1" s="184">
      <c r="H910" s="33" t="n"/>
      <c r="I910" s="33" t="n"/>
      <c r="J910" s="33" t="n"/>
    </row>
    <row r="911" ht="15.75" customHeight="1" s="184">
      <c r="H911" s="33" t="n"/>
      <c r="I911" s="33" t="n"/>
      <c r="J911" s="33" t="n"/>
    </row>
    <row r="912" ht="15.75" customHeight="1" s="184">
      <c r="H912" s="33" t="n"/>
      <c r="I912" s="33" t="n"/>
      <c r="J912" s="33" t="n"/>
    </row>
    <row r="913" ht="15.75" customHeight="1" s="184">
      <c r="H913" s="33" t="n"/>
      <c r="I913" s="33" t="n"/>
      <c r="J913" s="33" t="n"/>
    </row>
    <row r="914" ht="15.75" customHeight="1" s="184">
      <c r="H914" s="33" t="n"/>
      <c r="I914" s="33" t="n"/>
      <c r="J914" s="33" t="n"/>
    </row>
    <row r="915" ht="15.75" customHeight="1" s="184">
      <c r="H915" s="33" t="n"/>
      <c r="I915" s="33" t="n"/>
      <c r="J915" s="33" t="n"/>
    </row>
    <row r="916" ht="15.75" customHeight="1" s="184">
      <c r="H916" s="33" t="n"/>
      <c r="I916" s="33" t="n"/>
      <c r="J916" s="33" t="n"/>
    </row>
    <row r="917" ht="15.75" customHeight="1" s="184">
      <c r="H917" s="33" t="n"/>
      <c r="I917" s="33" t="n"/>
      <c r="J917" s="33" t="n"/>
    </row>
    <row r="918" ht="15.75" customHeight="1" s="184">
      <c r="H918" s="33" t="n"/>
      <c r="I918" s="33" t="n"/>
      <c r="J918" s="33" t="n"/>
    </row>
    <row r="919" ht="15.75" customHeight="1" s="184">
      <c r="H919" s="33" t="n"/>
      <c r="I919" s="33" t="n"/>
      <c r="J919" s="33" t="n"/>
    </row>
    <row r="920" ht="15.75" customHeight="1" s="184">
      <c r="H920" s="33" t="n"/>
      <c r="I920" s="33" t="n"/>
      <c r="J920" s="33" t="n"/>
    </row>
    <row r="921" ht="15.75" customHeight="1" s="184">
      <c r="H921" s="33" t="n"/>
      <c r="I921" s="33" t="n"/>
      <c r="J921" s="33" t="n"/>
    </row>
    <row r="922" ht="15.75" customHeight="1" s="184">
      <c r="H922" s="33" t="n"/>
      <c r="I922" s="33" t="n"/>
      <c r="J922" s="33" t="n"/>
    </row>
    <row r="923" ht="15.75" customHeight="1" s="184">
      <c r="H923" s="33" t="n"/>
      <c r="I923" s="33" t="n"/>
      <c r="J923" s="33" t="n"/>
    </row>
    <row r="924" ht="15.75" customHeight="1" s="184">
      <c r="H924" s="33" t="n"/>
      <c r="I924" s="33" t="n"/>
      <c r="J924" s="33" t="n"/>
    </row>
    <row r="925" ht="15.75" customHeight="1" s="184">
      <c r="H925" s="33" t="n"/>
      <c r="I925" s="33" t="n"/>
      <c r="J925" s="33" t="n"/>
    </row>
    <row r="926" ht="15.75" customHeight="1" s="184">
      <c r="H926" s="33" t="n"/>
      <c r="I926" s="33" t="n"/>
      <c r="J926" s="33" t="n"/>
    </row>
    <row r="927" ht="15.75" customHeight="1" s="184">
      <c r="H927" s="33" t="n"/>
      <c r="I927" s="33" t="n"/>
      <c r="J927" s="33" t="n"/>
    </row>
    <row r="928" ht="15.75" customHeight="1" s="184">
      <c r="H928" s="33" t="n"/>
      <c r="I928" s="33" t="n"/>
      <c r="J928" s="33" t="n"/>
    </row>
    <row r="929" ht="15.75" customHeight="1" s="184">
      <c r="H929" s="33" t="n"/>
      <c r="I929" s="33" t="n"/>
      <c r="J929" s="33" t="n"/>
    </row>
    <row r="930" ht="15.75" customHeight="1" s="184">
      <c r="H930" s="33" t="n"/>
      <c r="I930" s="33" t="n"/>
      <c r="J930" s="33" t="n"/>
    </row>
  </sheetData>
  <mergeCells count="89">
    <mergeCell ref="P88:T88"/>
    <mergeCell ref="E13:G13"/>
    <mergeCell ref="AE8:AE9"/>
    <mergeCell ref="E57:G57"/>
    <mergeCell ref="C31:G31"/>
    <mergeCell ref="P101:T101"/>
    <mergeCell ref="E58:G58"/>
    <mergeCell ref="E18:G18"/>
    <mergeCell ref="Q7:T8"/>
    <mergeCell ref="E83:G83"/>
    <mergeCell ref="AD8:AD9"/>
    <mergeCell ref="E44:G44"/>
    <mergeCell ref="AJ7:AL7"/>
    <mergeCell ref="E28:G28"/>
    <mergeCell ref="AH8:AH9"/>
    <mergeCell ref="H7:H9"/>
    <mergeCell ref="AJ8:AJ9"/>
    <mergeCell ref="J7:J9"/>
    <mergeCell ref="E84:G84"/>
    <mergeCell ref="E59:G59"/>
    <mergeCell ref="K7:K9"/>
    <mergeCell ref="P96:T96"/>
    <mergeCell ref="P90:T90"/>
    <mergeCell ref="E61:G61"/>
    <mergeCell ref="P99:T99"/>
    <mergeCell ref="E54:G54"/>
    <mergeCell ref="E32:G32"/>
    <mergeCell ref="E72:G72"/>
    <mergeCell ref="P91:T91"/>
    <mergeCell ref="C51:G51"/>
    <mergeCell ref="E47:G47"/>
    <mergeCell ref="AG8:AG9"/>
    <mergeCell ref="AI8:AI9"/>
    <mergeCell ref="E43:G43"/>
    <mergeCell ref="E71:G71"/>
    <mergeCell ref="E24:G24"/>
    <mergeCell ref="E33:G33"/>
    <mergeCell ref="E79:G79"/>
    <mergeCell ref="E17:G17"/>
    <mergeCell ref="E73:G73"/>
    <mergeCell ref="P92:T92"/>
    <mergeCell ref="E63:G63"/>
    <mergeCell ref="E19:G19"/>
    <mergeCell ref="U8:X8"/>
    <mergeCell ref="P100:T100"/>
    <mergeCell ref="P94:T94"/>
    <mergeCell ref="E65:G65"/>
    <mergeCell ref="E34:G34"/>
    <mergeCell ref="C26:G26"/>
    <mergeCell ref="Y8:AB8"/>
    <mergeCell ref="C16:G16"/>
    <mergeCell ref="P95:T95"/>
    <mergeCell ref="AC7:AI7"/>
    <mergeCell ref="E22:G22"/>
    <mergeCell ref="E37:G37"/>
    <mergeCell ref="P98:T98"/>
    <mergeCell ref="C11:G11"/>
    <mergeCell ref="E12:G12"/>
    <mergeCell ref="E62:G62"/>
    <mergeCell ref="E14:G14"/>
    <mergeCell ref="I7:I9"/>
    <mergeCell ref="AK8:AK9"/>
    <mergeCell ref="E23:G23"/>
    <mergeCell ref="P93:T93"/>
    <mergeCell ref="AC8:AC9"/>
    <mergeCell ref="M7:P8"/>
    <mergeCell ref="E49:G49"/>
    <mergeCell ref="E27:G27"/>
    <mergeCell ref="A1:AL1"/>
    <mergeCell ref="E76:G76"/>
    <mergeCell ref="AJ87:AK87"/>
    <mergeCell ref="U7:AB7"/>
    <mergeCell ref="E66:G66"/>
    <mergeCell ref="AL8:AL9"/>
    <mergeCell ref="L7:L9"/>
    <mergeCell ref="E53:G53"/>
    <mergeCell ref="AF8:AF9"/>
    <mergeCell ref="AJ89:AK89"/>
    <mergeCell ref="P97:T97"/>
    <mergeCell ref="AJ88:AK88"/>
    <mergeCell ref="P87:T87"/>
    <mergeCell ref="E52:G52"/>
    <mergeCell ref="E67:G67"/>
    <mergeCell ref="E39:G39"/>
    <mergeCell ref="A7:G9"/>
    <mergeCell ref="E48:G48"/>
    <mergeCell ref="P89:T89"/>
    <mergeCell ref="E29:G29"/>
    <mergeCell ref="E38:G38"/>
  </mergeCells>
  <dataValidations count="4">
    <dataValidation sqref="P13 P18 P23 P28 P33 P38 P43 P48 P53 P58 P62 P66 P72 P79 P83:P85" showDropDown="0" showInputMessage="0" showErrorMessage="1" allowBlank="1" type="custom">
      <formula1>OR(NOT(ISNUMBER(P13)), P13=K13)</formula1>
    </dataValidation>
    <dataValidation sqref="I12 I17 I22 I27 I32 I37 I42 I47 I52 I57 I61 I65 I71 I76 I79 I83:I85 L13:L14 L18:L19 L23:L24" showDropDown="0" showInputMessage="0" showErrorMessage="1" allowBlank="1" type="list">
      <formula1>"Triwulanan,Tahunan"</formula1>
    </dataValidation>
    <dataValidation sqref="H12 H17 H22 H27 H32 H37 H42 H47 H52 H57 H61 H65 H71 H76 H79 H83:H85" showDropDown="0" showInputMessage="0" showErrorMessage="1" allowBlank="1" type="list">
      <formula1>"IKU,Proksi"</formula1>
    </dataValidation>
    <dataValidation sqref="J12 J17 J22 J27 J32 J37 J42 J47 J52 J57 J61 J65 J71 J76 J79 J83:J85" showDropDown="0" showInputMessage="0" showErrorMessage="1" allowBlank="1" type="list">
      <formula1>"%,Non %"</formula1>
    </dataValidation>
  </dataValidations>
  <hyperlinks>
    <hyperlink xmlns:r="http://schemas.openxmlformats.org/officeDocument/2006/relationships" ref="AH12" r:id="rId1"/>
    <hyperlink xmlns:r="http://schemas.openxmlformats.org/officeDocument/2006/relationships" ref="AI12" r:id="rId2"/>
    <hyperlink xmlns:r="http://schemas.openxmlformats.org/officeDocument/2006/relationships" ref="AH17" r:id="rId3"/>
    <hyperlink xmlns:r="http://schemas.openxmlformats.org/officeDocument/2006/relationships" ref="AI17" r:id="rId4"/>
    <hyperlink xmlns:r="http://schemas.openxmlformats.org/officeDocument/2006/relationships" ref="AH22" r:id="rId5"/>
    <hyperlink xmlns:r="http://schemas.openxmlformats.org/officeDocument/2006/relationships" ref="AI22" r:id="rId6"/>
    <hyperlink xmlns:r="http://schemas.openxmlformats.org/officeDocument/2006/relationships" ref="AH27" r:id="rId7"/>
    <hyperlink xmlns:r="http://schemas.openxmlformats.org/officeDocument/2006/relationships" ref="AI27" r:id="rId8"/>
    <hyperlink xmlns:r="http://schemas.openxmlformats.org/officeDocument/2006/relationships" ref="AH32" r:id="rId9"/>
    <hyperlink xmlns:r="http://schemas.openxmlformats.org/officeDocument/2006/relationships" ref="AI32" r:id="rId10"/>
    <hyperlink xmlns:r="http://schemas.openxmlformats.org/officeDocument/2006/relationships" ref="AH37" r:id="rId11"/>
    <hyperlink xmlns:r="http://schemas.openxmlformats.org/officeDocument/2006/relationships" ref="AI37" r:id="rId12"/>
    <hyperlink xmlns:r="http://schemas.openxmlformats.org/officeDocument/2006/relationships" ref="AH42" r:id="rId13"/>
    <hyperlink xmlns:r="http://schemas.openxmlformats.org/officeDocument/2006/relationships" ref="AI42" r:id="rId14"/>
    <hyperlink xmlns:r="http://schemas.openxmlformats.org/officeDocument/2006/relationships" ref="AH47" r:id="rId15"/>
    <hyperlink xmlns:r="http://schemas.openxmlformats.org/officeDocument/2006/relationships" ref="AI47" r:id="rId16"/>
    <hyperlink xmlns:r="http://schemas.openxmlformats.org/officeDocument/2006/relationships" ref="AH52" r:id="rId17"/>
    <hyperlink xmlns:r="http://schemas.openxmlformats.org/officeDocument/2006/relationships" ref="AI52" r:id="rId18"/>
    <hyperlink xmlns:r="http://schemas.openxmlformats.org/officeDocument/2006/relationships" ref="AH57" r:id="rId19"/>
    <hyperlink xmlns:r="http://schemas.openxmlformats.org/officeDocument/2006/relationships" ref="AI57" r:id="rId20"/>
    <hyperlink xmlns:r="http://schemas.openxmlformats.org/officeDocument/2006/relationships" ref="AH61" r:id="rId21"/>
    <hyperlink xmlns:r="http://schemas.openxmlformats.org/officeDocument/2006/relationships" ref="AI61" r:id="rId22"/>
    <hyperlink xmlns:r="http://schemas.openxmlformats.org/officeDocument/2006/relationships" ref="AH65" r:id="rId23"/>
    <hyperlink xmlns:r="http://schemas.openxmlformats.org/officeDocument/2006/relationships" ref="AI65" r:id="rId24"/>
    <hyperlink xmlns:r="http://schemas.openxmlformats.org/officeDocument/2006/relationships" ref="AH71" r:id="rId25"/>
    <hyperlink xmlns:r="http://schemas.openxmlformats.org/officeDocument/2006/relationships" ref="AI71" r:id="rId26"/>
    <hyperlink xmlns:r="http://schemas.openxmlformats.org/officeDocument/2006/relationships" ref="AH76" r:id="rId27"/>
    <hyperlink xmlns:r="http://schemas.openxmlformats.org/officeDocument/2006/relationships" ref="AI76" r:id="rId28"/>
    <hyperlink xmlns:r="http://schemas.openxmlformats.org/officeDocument/2006/relationships" ref="AH79" r:id="rId29"/>
    <hyperlink xmlns:r="http://schemas.openxmlformats.org/officeDocument/2006/relationships" ref="AI79" r:id="rId30"/>
    <hyperlink xmlns:r="http://schemas.openxmlformats.org/officeDocument/2006/relationships" ref="AH83" r:id="rId31"/>
    <hyperlink xmlns:r="http://schemas.openxmlformats.org/officeDocument/2006/relationships" ref="AI83" r:id="rId32"/>
    <hyperlink xmlns:r="http://schemas.openxmlformats.org/officeDocument/2006/relationships" ref="AH84" r:id="rId33"/>
    <hyperlink xmlns:r="http://schemas.openxmlformats.org/officeDocument/2006/relationships" ref="AI84" r:id="rId34"/>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5"/>
  <sheetViews>
    <sheetView workbookViewId="0">
      <selection activeCell="D4" sqref="D4"/>
    </sheetView>
  </sheetViews>
  <sheetFormatPr baseColWidth="10" defaultColWidth="8.83203125" defaultRowHeight="15"/>
  <cols>
    <col width="37.1640625" customWidth="1" style="184" min="1" max="1"/>
    <col width="30.33203125" customWidth="1" style="184" min="2" max="2"/>
    <col width="26.5" customWidth="1" style="184" min="3" max="3"/>
    <col width="75.1640625" customWidth="1" style="184" min="4" max="4"/>
  </cols>
  <sheetData>
    <row r="1" ht="30" customHeight="1" s="184">
      <c r="A1" s="56" t="inlineStr">
        <is>
          <t>Rincian Output</t>
        </is>
      </c>
      <c r="B1" s="57" t="inlineStr">
        <is>
          <t>Realisasi Volume RO</t>
        </is>
      </c>
      <c r="C1" s="60" t="inlineStr">
        <is>
          <t>Progres Pelaksanaan Kegiatan (Persen)</t>
        </is>
      </c>
      <c r="D1" s="61" t="inlineStr">
        <is>
          <t>Realisasi yang telah dilaksanakan (Berikan Narasi)</t>
        </is>
      </c>
    </row>
    <row r="2">
      <c r="A2" s="56" t="n">
        <v>1</v>
      </c>
      <c r="B2" s="67" t="n">
        <v>2</v>
      </c>
      <c r="C2" s="67" t="n">
        <v>3</v>
      </c>
      <c r="D2" s="67" t="n">
        <v>4</v>
      </c>
    </row>
    <row r="3" ht="58.5" customHeight="1" s="184">
      <c r="A3" s="65" t="inlineStr">
        <is>
          <t>2905 BMA 004. Publikasi/Laporan Survei Angkatan Kerja Nasional</t>
        </is>
      </c>
      <c r="B3" s="112" t="n">
        <v>0</v>
      </c>
      <c r="C3" s="109" t="n">
        <v>0.2522</v>
      </c>
      <c r="D3" s="65" t="inlineStr">
        <is>
          <t>Pelaksanaan Sakernas Februari 2026 telah selesai dilaksanakan sebesar 100 persen dengan progres kegiatan terhadap total pelaksanaan Sakernas sebesar 25,22 persen</t>
        </is>
      </c>
      <c r="E3" s="59" t="n"/>
    </row>
    <row r="4" ht="66" customHeight="1" s="184">
      <c r="A4" s="99" t="inlineStr">
        <is>
          <t>2905 BMA 005. Publikasi/Laporan Statistik Kependudukan dan Ketenagakerjaan</t>
        </is>
      </c>
      <c r="B4" s="112" t="n">
        <v>0</v>
      </c>
      <c r="C4" s="109" t="n">
        <v>0</v>
      </c>
      <c r="D4" s="65" t="inlineStr">
        <is>
          <t>Tidak ada pelaksanaan kegiatan Statistik Kependudukan dan Ketenagakerjaan di tahun 2026</t>
        </is>
      </c>
      <c r="E4" s="59" t="n"/>
    </row>
    <row r="5">
      <c r="A5" s="51" t="n"/>
      <c r="B5" s="52" t="n"/>
      <c r="C5" s="52" t="n"/>
      <c r="D5" s="59" t="n"/>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5"/>
  <sheetViews>
    <sheetView workbookViewId="0">
      <selection activeCell="B2" sqref="B2"/>
    </sheetView>
  </sheetViews>
  <sheetFormatPr baseColWidth="10" defaultColWidth="8.83203125" defaultRowHeight="15"/>
  <cols>
    <col width="55.6640625" customWidth="1" style="184" min="1" max="1"/>
    <col width="24.1640625" customWidth="1" style="184" min="2" max="2"/>
    <col width="24.6640625" customWidth="1" style="184" min="3" max="3"/>
    <col width="78.5" customWidth="1" style="184" min="4" max="4"/>
  </cols>
  <sheetData>
    <row r="1" ht="30" customHeight="1" s="184">
      <c r="A1" s="67" t="inlineStr">
        <is>
          <t>Rincian Output</t>
        </is>
      </c>
      <c r="B1" s="67" t="inlineStr">
        <is>
          <t>Realisasi Volume RO</t>
        </is>
      </c>
      <c r="C1" s="67" t="inlineStr">
        <is>
          <t>Progres Pelaksanaan Kegiatan (Persen)</t>
        </is>
      </c>
      <c r="D1" s="64" t="inlineStr">
        <is>
          <t>Realisasi yang telah dilaksanakan (Berikan Narasi)</t>
        </is>
      </c>
    </row>
    <row r="2" ht="55.5" customHeight="1" s="184">
      <c r="A2" s="65" t="inlineStr">
        <is>
          <t>2906 BMA 003. Publikasi/Laporan Statistik Kesejahteraan Rakyat</t>
        </is>
      </c>
      <c r="B2" s="112" t="n">
        <v>0</v>
      </c>
      <c r="C2" s="109" t="n">
        <v>0</v>
      </c>
      <c r="D2" s="65" t="inlineStr">
        <is>
          <t>Tidak ada pelaksanaan kegiatan Publikasi/Laporan Statistik Kesejahteraan Rakyat di tahun 2026</t>
        </is>
      </c>
    </row>
    <row r="3" ht="57" customHeight="1" s="184">
      <c r="A3" s="99" t="inlineStr">
        <is>
          <t>2906 BMA 005. Publikasi/Laporan Data Tunggal Sosial dan Ekonomi Nasional</t>
        </is>
      </c>
      <c r="B3" s="112" t="n">
        <v>0</v>
      </c>
      <c r="C3" s="109" t="n">
        <v>0.1712</v>
      </c>
      <c r="D3" s="65" t="inlineStr">
        <is>
          <t>Pelaksanaan kegiatan Koordinasi, Kolaborasi dan pelaksanaan kegiatan Groundchek PBI Tahap I, Pelatihan Petugas Groundcek PLN serta pelatihan kegiatan GC PBI Tahap II</t>
        </is>
      </c>
    </row>
    <row r="4" ht="45.75" customHeight="1" s="184">
      <c r="A4" s="65" t="inlineStr">
        <is>
          <t>2906 BMA 006. Publikasi/Laporan Survei Sosial Ekonomi Nasional</t>
        </is>
      </c>
      <c r="B4" s="112" t="n">
        <v>0</v>
      </c>
      <c r="C4" s="109" t="n">
        <v>0.5743</v>
      </c>
      <c r="D4" s="65" t="inlineStr">
        <is>
          <t>Pelaksanaan Susenas dan Seruti TW 1 Tahun 2026 telah diselesaikan.</t>
        </is>
      </c>
    </row>
    <row r="5">
      <c r="C5" s="59"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
  <sheetViews>
    <sheetView workbookViewId="0">
      <selection activeCell="C3" sqref="C3"/>
    </sheetView>
  </sheetViews>
  <sheetFormatPr baseColWidth="10" defaultColWidth="8.83203125" defaultRowHeight="15"/>
  <cols>
    <col width="38.6640625" customWidth="1" style="184" min="1" max="1"/>
    <col width="20.6640625" customWidth="1" style="184" min="2" max="2"/>
    <col width="18.5" customWidth="1" style="184" min="3" max="3"/>
    <col width="60.83203125" customWidth="1" style="184" min="4" max="4"/>
  </cols>
  <sheetData>
    <row r="1" ht="45" customHeight="1" s="184">
      <c r="A1" s="65" t="inlineStr">
        <is>
          <t>Rincian Output</t>
        </is>
      </c>
      <c r="B1" s="65" t="inlineStr">
        <is>
          <t>Realisasi Volume RO</t>
        </is>
      </c>
      <c r="C1" s="65" t="inlineStr">
        <is>
          <t>Progres Pelaksanaan Kegiatan (Persen)</t>
        </is>
      </c>
      <c r="D1" s="64" t="inlineStr">
        <is>
          <t>Realisasi yang telah dilaksanakan (Berikan Narasi)</t>
        </is>
      </c>
    </row>
    <row r="2" ht="60" customHeight="1" s="184">
      <c r="A2" s="65" t="inlineStr">
        <is>
          <t>2907 BMA 006. Publikasi/Laporan Statistik Ketahanan Sosial</t>
        </is>
      </c>
      <c r="B2" s="112" t="n">
        <v>0</v>
      </c>
      <c r="C2" s="100" t="inlineStr">
        <is>
          <t>16,24%</t>
        </is>
      </c>
      <c r="D2" s="98" t="inlineStr">
        <is>
          <t>Pada triwulan I 2026, kegiatan Statistik Ketahanan Politik dan Keamanan (Statpolkam) yang telah dilaksanakan antara lain, persiapan kegiatan survei STATPOLKAM 2026 dengan melakukan pengumpulan data yang terintegrasi dengan pengumpulan data Kota Bima Dalam Angka 2026</t>
        </is>
      </c>
    </row>
    <row r="3" ht="45" customHeight="1" s="184">
      <c r="A3" s="65" t="inlineStr">
        <is>
          <t>2907 BMA 008. Publikasi/Laporan Pendataan Potensi Desa</t>
        </is>
      </c>
      <c r="B3" s="112" t="n">
        <v>0</v>
      </c>
      <c r="C3" s="100" t="inlineStr">
        <is>
          <t>24,56%</t>
        </is>
      </c>
      <c r="D3" s="98" t="inlineStr">
        <is>
          <t>Pada triwulan I 2026, kegiatan Pendataan Pemutakhiran Data Perkembangan Desa (Potensi Desa) yang telah dilaksanakan yaitu persiapan berupa pelatihan Inda dan Penentuan Petugas Podes 2026</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5"/>
  <sheetViews>
    <sheetView workbookViewId="0">
      <selection activeCell="D5" sqref="D5"/>
    </sheetView>
  </sheetViews>
  <sheetFormatPr baseColWidth="10" defaultColWidth="8.83203125" defaultRowHeight="15"/>
  <cols>
    <col width="44" customWidth="1" style="184" min="1" max="1"/>
    <col width="17" customWidth="1" style="184" min="2" max="2"/>
    <col width="23.5" customWidth="1" style="184" min="3" max="3"/>
    <col width="58" customWidth="1" style="184" min="4" max="4"/>
  </cols>
  <sheetData>
    <row r="1" ht="30" customHeight="1" s="184">
      <c r="A1" s="56" t="inlineStr">
        <is>
          <t>Rincian Output</t>
        </is>
      </c>
      <c r="B1" s="57" t="inlineStr">
        <is>
          <t>Realisasi Volume RO</t>
        </is>
      </c>
      <c r="C1" s="58" t="inlineStr">
        <is>
          <t>Progres Pelaksanaan Kegiatan (Persen)</t>
        </is>
      </c>
      <c r="D1" s="57" t="inlineStr">
        <is>
          <t>Realisasi yang telah dilaksanakan (Berikan Narasi)</t>
        </is>
      </c>
    </row>
    <row r="2" ht="121" customHeight="1" s="184">
      <c r="A2" s="49" t="inlineStr">
        <is>
          <t>2910 BMA 007. Publikasi/Laporan Statistik Tanaman Pangan</t>
        </is>
      </c>
      <c r="B2" s="112" t="n">
        <v>0</v>
      </c>
      <c r="C2" s="88" t="n">
        <v>0.1353</v>
      </c>
      <c r="D2" s="62" t="inlineStr">
        <is>
          <t>Kegiatan yang telah dilaksanakan antara lain pengamatan KSA Padi dan Jagung sudah 100 persen dilakukan pengamatan pada triwulan I tahun 2026. Ubinan Padi dan Palawija masih berjalan dan baru terealisasi sekitar 75 persen karena rentang waktu pendataan adalah subround 1 (Januari-April), petugas lapangan masih menjalankan pendataan untuk memenuhi target. Untuk kegiatan laporan SP palwaija yang berasal dari Dinas Pertanian telah terealisasi 100 persen.</t>
        </is>
      </c>
    </row>
    <row r="3" ht="91" customHeight="1" s="184">
      <c r="A3" s="49" t="inlineStr">
        <is>
          <t>2910 BMA 008. Publikasi/Laporan Statistik Hortikultura dan Perkebunan</t>
        </is>
      </c>
      <c r="B3" s="112" t="n">
        <v>0</v>
      </c>
      <c r="C3" s="113" t="n">
        <v>0.3333</v>
      </c>
      <c r="D3" s="68" t="inlineStr">
        <is>
          <t>Untuk kegiatan pada Satatistik Hortikultura dan Perkebunan, kegiatan yang telah selesai pelaksanaannya 100 persen adalah kegiatan listing Survei Indeks Produksi Hortikultura (VIP-Horti) Tahun 2026, sedangkan untuk kegiatan pendataan akan dilaksanakan secara triwulanan pada bulan April, Juli, dan Oktober 2026.</t>
        </is>
      </c>
    </row>
    <row r="4" ht="106" customHeight="1" s="184">
      <c r="A4" s="50" t="inlineStr">
        <is>
          <t>2909 BMA 005. Publikasi/Laporan Statistik Peternakan, Perikanan, dan Kehutanan</t>
        </is>
      </c>
      <c r="B4" s="112" t="n">
        <v>0</v>
      </c>
      <c r="C4" s="87" t="n">
        <v>0.1865</v>
      </c>
      <c r="D4" s="86" t="inlineStr">
        <is>
          <t>Kegiatan di Statistik Peternakan, Perikanan, dan Kehutanan yang dilakukan pada Triwulan I Tahun 2026 adalah Laporan Pemotongan Ternak Bulanan (LPTB) yang dilakukan setiap bulannya dan telah 100 persen realisasi sesuai jadwal. Selain itu telah dilakukan koordinasi bersama Dinas Perikanan untuk pengumpulan Laporan Pendaratan Ikan Tradisional (PIT) Triwulan 4 Tahun 2025, kegiatan ini telah dilaksnakan sesuai jadwal dan 100 persen terealisasi.</t>
        </is>
      </c>
      <c r="E4" s="59" t="n"/>
    </row>
    <row r="5">
      <c r="C5" s="59" t="n"/>
      <c r="D5" s="59"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5.83203125" customWidth="1" style="184" min="1" max="1"/>
    <col width="15.83203125" customWidth="1" style="184" min="2" max="2"/>
    <col width="22.6640625" customWidth="1" style="184" min="3" max="3"/>
    <col width="69.5" customWidth="1" style="184" min="4" max="4"/>
  </cols>
  <sheetData>
    <row r="1" ht="31" customHeight="1" s="184">
      <c r="A1" s="69" t="inlineStr">
        <is>
          <t>Rincian Output</t>
        </is>
      </c>
      <c r="B1" s="62" t="inlineStr">
        <is>
          <t>Realisasi Volume RO</t>
        </is>
      </c>
      <c r="C1" s="62" t="inlineStr">
        <is>
          <t>Progres Pelaksanaan Kegiatan (Persen)</t>
        </is>
      </c>
      <c r="D1" s="67" t="inlineStr">
        <is>
          <t>Realisasi yang telah dilaksanakan (Berikan Narasi)</t>
        </is>
      </c>
    </row>
    <row r="2" ht="76" customHeight="1" s="184">
      <c r="A2" s="62" t="inlineStr">
        <is>
          <t>2904 BMA 006. Publikasi/Laporan Statistik Sumber Daya Mineral dan Konstruksi</t>
        </is>
      </c>
      <c r="B2" s="112" t="n">
        <v>0</v>
      </c>
      <c r="C2" s="87" t="n">
        <v>0.2056</v>
      </c>
      <c r="D2" s="62" t="inlineStr">
        <is>
          <t>Kegiatan yang telah dilaksanakan pada Triwulan I Tahun 2026 antara lain Survei Konstruksi Triwulanan (SKTR) Triwulan 4 Tahun 2025, Survei Air Bersih Triwulan 4 Tahun 2025, dan Updating Direktori Perusahaan Pertambangan dan Energi (UDPE) Tahun 2026. Semua kegiatan tersebut telah dilaksanakan sesuai jadwal dan sudah terealisasi 100 persen.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30.5" customWidth="1" style="184" min="1" max="1"/>
    <col width="16" customWidth="1" style="184" min="2" max="2"/>
    <col width="24.1640625" customWidth="1" style="184" min="3" max="3"/>
    <col width="64.5" customWidth="1" style="184" min="4" max="4"/>
  </cols>
  <sheetData>
    <row r="1" ht="30" customHeight="1" s="184">
      <c r="A1" s="69" t="inlineStr">
        <is>
          <t>Rincian Output</t>
        </is>
      </c>
      <c r="B1" s="65" t="inlineStr">
        <is>
          <t>Realisasi Volume RO</t>
        </is>
      </c>
      <c r="C1" s="65" t="inlineStr">
        <is>
          <t>Progres Pelaksanaan Kegiatan (Persen)</t>
        </is>
      </c>
      <c r="D1" s="67" t="inlineStr">
        <is>
          <t>Realisasi yang telah dilaksanakan (Berikan Narasi)</t>
        </is>
      </c>
    </row>
    <row r="2" ht="76" customHeight="1" s="184">
      <c r="A2" s="62" t="inlineStr">
        <is>
          <t>2904 BMA 006. Publikasi/Laporan Statistik Industri yang berkualitas</t>
        </is>
      </c>
      <c r="B2" s="112" t="n">
        <v>0</v>
      </c>
      <c r="C2" s="87" t="n">
        <v>0.3571</v>
      </c>
      <c r="D2" s="62" t="inlineStr">
        <is>
          <t>Kegiatan Statistik Industri yang telah realisasi 100 persen adalah pendataan Survei Industri Besar Sedang (IBS) Triwulan 4 Tahun 2025 dan Survei Industri Mikro Kecil (IMK) Triwulan 4 Tahun 2025 yang dilaksanakan pada bulan Januari 2026, serta Listing IMK Triwulanan Tahun 2026 yang dilaksanakan pada bulan Maret 2026.</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49"/>
  <sheetViews>
    <sheetView workbookViewId="0">
      <selection activeCell="D5" sqref="D5"/>
    </sheetView>
  </sheetViews>
  <sheetFormatPr baseColWidth="10" defaultColWidth="8.83203125" defaultRowHeight="15"/>
  <cols>
    <col width="27" customWidth="1" style="184" min="1" max="1"/>
    <col width="18.5" customWidth="1" style="184" min="2" max="2"/>
    <col width="25.5" customWidth="1" style="184" min="3" max="3"/>
    <col width="49.33203125" customWidth="1" style="184" min="4" max="4"/>
  </cols>
  <sheetData>
    <row r="1" ht="30" customHeight="1" s="184">
      <c r="A1" s="53" t="inlineStr">
        <is>
          <t>Rincian Output</t>
        </is>
      </c>
      <c r="B1" s="54" t="inlineStr">
        <is>
          <t>Realisasi Volume RO</t>
        </is>
      </c>
      <c r="C1" s="54" t="inlineStr">
        <is>
          <t>Progres Pelaksanaan Kegiatan (Persen)</t>
        </is>
      </c>
      <c r="D1" s="61" t="inlineStr">
        <is>
          <t>Realisasi yang telah dilaksanakan (Berikan Narasi)</t>
        </is>
      </c>
    </row>
    <row r="2" ht="91" customHeight="1" s="184">
      <c r="A2" s="49" t="inlineStr">
        <is>
          <t>2902 BMA 004. Publikasi/Laporan Statistik Distribusi</t>
        </is>
      </c>
      <c r="B2" s="112" t="n">
        <v>0</v>
      </c>
      <c r="C2" s="88" t="n">
        <v>0.175</v>
      </c>
      <c r="D2" s="63" t="inlineStr">
        <is>
          <t>Pelaksanaan kegitan statistik distribusi yang telah terealisasi  100 persen di TW I adalah pendatan Lapangan dokumen angkutan darat PJ II/5 yang dilaksanakan pada bulan Februari 2026. sementara untuk pendataan SIMOPPEL (bersifat bulanan ) untuk bulan (Jauari-Maret) 2026 sudah terealisasi 100 persen</t>
        </is>
      </c>
    </row>
    <row r="3" ht="51.75" customHeight="1" s="184">
      <c r="A3" s="49" t="inlineStr">
        <is>
          <t>2902 BMA 006. Publikasi/Laporan Sensus Ekonomi</t>
        </is>
      </c>
      <c r="B3" s="112" t="n">
        <v>0</v>
      </c>
      <c r="C3" s="88" t="n">
        <v>0.2086</v>
      </c>
      <c r="D3" s="63" t="inlineStr">
        <is>
          <t>Kegiatan publisitas SE yg sudah terlaksana dan masih berjalan yaitu pelaksanaan berbagai sosialisasi Sensus Ekonomi meliputi pembuatan standing banner, roll banner, leaflet, dan spanduk.</t>
        </is>
      </c>
    </row>
    <row r="4" ht="61" customHeight="1" s="184">
      <c r="A4" s="50" t="inlineStr">
        <is>
          <t>2900 BMA 005. Dokumen/Laporan Pengembangan Metodologi Kegiatan Statistik</t>
        </is>
      </c>
      <c r="B4" s="112" t="n">
        <v>0</v>
      </c>
      <c r="C4" s="88" t="n">
        <v>0.175</v>
      </c>
      <c r="D4" s="63" t="inlineStr">
        <is>
          <t>Pelaksanaan GC SBR melalui matchapro dan surat pernyataan pelaksanan GC SBR telah selesai 100 persen.</t>
        </is>
      </c>
    </row>
    <row r="48">
      <c r="L48" s="16" t="n">
        <v>0</v>
      </c>
      <c r="M48" s="16" t="n">
        <v>0</v>
      </c>
      <c r="N48" s="16" t="n">
        <v>0</v>
      </c>
    </row>
    <row r="49">
      <c r="L49" s="16" t="n">
        <v>0</v>
      </c>
      <c r="M49" s="16" t="n">
        <v>0</v>
      </c>
      <c r="N49" s="16"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4"/>
  <sheetViews>
    <sheetView workbookViewId="0">
      <selection activeCell="C3" sqref="C3"/>
    </sheetView>
  </sheetViews>
  <sheetFormatPr baseColWidth="10" defaultColWidth="8.83203125" defaultRowHeight="15"/>
  <cols>
    <col width="28.6640625" customWidth="1" style="184" min="1" max="1"/>
    <col width="15.83203125" customWidth="1" style="184" min="2" max="2"/>
    <col width="21.6640625" customWidth="1" style="184" min="3" max="3"/>
    <col width="93.1640625" bestFit="1" customWidth="1" style="184" min="4" max="4"/>
  </cols>
  <sheetData>
    <row r="1" ht="30" customHeight="1" s="184">
      <c r="A1" s="53" t="inlineStr">
        <is>
          <t>Rincian Output</t>
        </is>
      </c>
      <c r="B1" s="54" t="inlineStr">
        <is>
          <t>Realisasi Volume RO</t>
        </is>
      </c>
      <c r="C1" s="55" t="inlineStr">
        <is>
          <t>Progres Pelaksanaan Kegiatan (Persen)</t>
        </is>
      </c>
      <c r="D1" s="57" t="inlineStr">
        <is>
          <t>Realisasi yang telah dilaksanakan (Berikan Narasi)</t>
        </is>
      </c>
    </row>
    <row r="2" ht="66.75" customHeight="1" s="184">
      <c r="A2" s="49" t="inlineStr">
        <is>
          <t>2903 BMA 009. Publikasi/Laporan Statistik Harga</t>
        </is>
      </c>
      <c r="B2" s="112" t="n">
        <v>0</v>
      </c>
      <c r="C2" s="88" t="n">
        <v>0.2233</v>
      </c>
      <c r="D2" s="63" t="inlineStr">
        <is>
          <t xml:space="preserve">Kegiatan Statistik Harga yang sudah terselesaikan 100 persen adalah survey harga produsen identifikasi komoditas utama pada bulan Januari 2026 (Tahunan), Untuk Krgiatan lain seperti SHP, SHPB masih berjalan (pencacahan rutin bulanan)  </t>
        </is>
      </c>
    </row>
    <row r="3" ht="45.75" customHeight="1" s="184">
      <c r="A3" s="49" t="inlineStr">
        <is>
          <t>2903 QMA 006. Publikasi/Laporan Penyusunan Inflasi</t>
        </is>
      </c>
      <c r="B3" s="112" t="n">
        <v>0</v>
      </c>
      <c r="C3" s="88" t="n">
        <v>0.1376</v>
      </c>
      <c r="D3" s="70" t="inlineStr">
        <is>
          <t xml:space="preserve">Kegiatan penyusunan inflasi masih berjalan karena merupakan pendataan rutin bulanan (HK 1,2,3,4,5 dan 6) </t>
        </is>
      </c>
    </row>
    <row r="4" ht="45" customHeight="1" s="184">
      <c r="A4" s="72" t="inlineStr">
        <is>
          <t>2903 BMA 007. Publikasi/Laporan Survei Biaya Hidup</t>
        </is>
      </c>
      <c r="B4" s="112" t="n">
        <v>0</v>
      </c>
      <c r="C4" s="88" t="n">
        <v>0</v>
      </c>
      <c r="D4" s="71" t="inlineStr">
        <is>
          <t xml:space="preserve">Belum ada kegiatan </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C2" sqref="C2"/>
    </sheetView>
  </sheetViews>
  <sheetFormatPr baseColWidth="10" defaultColWidth="8.83203125" defaultRowHeight="15"/>
  <cols>
    <col width="33.1640625" customWidth="1" style="184" min="1" max="1"/>
    <col width="26.5" customWidth="1" style="184" min="2" max="2"/>
    <col width="24" customWidth="1" style="184" min="3" max="3"/>
    <col width="60.1640625" customWidth="1" style="184" min="4" max="4"/>
  </cols>
  <sheetData>
    <row r="1" ht="31" customHeight="1" s="184">
      <c r="A1" s="62" t="inlineStr">
        <is>
          <t>Rincian Output</t>
        </is>
      </c>
      <c r="B1" s="62" t="inlineStr">
        <is>
          <t>Realisasi Volume RO</t>
        </is>
      </c>
      <c r="C1" s="62" t="inlineStr">
        <is>
          <t>Progres Pelaksanaan Kegiatan (Persen)</t>
        </is>
      </c>
      <c r="D1" s="67" t="inlineStr">
        <is>
          <t>Realisasi yang telah dilaksanakan (Berikan Narasi)</t>
        </is>
      </c>
    </row>
    <row r="2" ht="75.75" customHeight="1" s="184">
      <c r="A2" s="62" t="inlineStr">
        <is>
          <t>2908 BMA 004. Publikasi/Laporan Statistik Keuangan, Teknologi Informasi, dan Pariwisata</t>
        </is>
      </c>
      <c r="B2" s="112" t="n">
        <v>0</v>
      </c>
      <c r="C2" s="88" t="n">
        <v>0.1933</v>
      </c>
      <c r="D2" s="62" t="inlineStr">
        <is>
          <t xml:space="preserve"> Kegiatan Statistik Pariwisata yang sudah terealisasi 100 persen adalah pelatihan petugas survey Bidang Jasa Pariwisata pada bulan Maret 2026. Untuk kegiatan lain seperti VHTS masih berjalan karena merupakan kegiatan Rutin Bulanan</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
  <sheetViews>
    <sheetView workbookViewId="0">
      <selection activeCell="B2" sqref="B2:C2"/>
    </sheetView>
  </sheetViews>
  <sheetFormatPr baseColWidth="10" defaultColWidth="8.83203125" defaultRowHeight="15"/>
  <cols>
    <col width="22.83203125" customWidth="1" style="184" min="1" max="1"/>
    <col width="19.1640625" customWidth="1" style="184" min="2" max="2"/>
    <col width="27" customWidth="1" style="184" min="3" max="3"/>
    <col width="55.5" customWidth="1" style="184" min="4" max="4"/>
  </cols>
  <sheetData>
    <row r="1" ht="30" customHeight="1" s="184">
      <c r="A1" s="65" t="inlineStr">
        <is>
          <t>Rincian Output</t>
        </is>
      </c>
      <c r="B1" s="65" t="inlineStr">
        <is>
          <t>Realisasi Volume RO</t>
        </is>
      </c>
      <c r="C1" s="65" t="inlineStr">
        <is>
          <t>Progres Pelaksanaan Kegiatan (Persen)</t>
        </is>
      </c>
      <c r="D1" s="67" t="inlineStr">
        <is>
          <t>Realisasi yang telah dilaksanakan (Berikan Narasi)</t>
        </is>
      </c>
    </row>
    <row r="2" ht="60" customHeight="1" s="184">
      <c r="A2" s="84" t="inlineStr">
        <is>
          <t>2899 BMA 006. Publikasi/Laporan Neraca Produksi</t>
        </is>
      </c>
      <c r="B2" s="112" t="n">
        <v>0</v>
      </c>
      <c r="C2" s="88" t="n">
        <v>0.1833</v>
      </c>
      <c r="D2" s="84" t="inlineStr">
        <is>
          <t>Pada triwulan I 2026, kegiatan yang telah dilaksanakan diantaranya SKTNP Tahap I, rekonsiliasi PDRB Lapangan Usaha Triwulan IV 2025 dan Tahun 2025, penyusunan publikasi PDRB Lapangan Usaha 2025, serta persiapan SKTNP Tahap II.</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B2" sqref="B2:C2"/>
    </sheetView>
  </sheetViews>
  <sheetFormatPr baseColWidth="10" defaultColWidth="8.83203125" defaultRowHeight="15"/>
  <cols>
    <col width="27.5" customWidth="1" style="184" min="1" max="1"/>
    <col width="17.6640625" customWidth="1" style="184" min="2" max="2"/>
    <col width="24" customWidth="1" style="184" min="3" max="3"/>
    <col width="76.33203125" customWidth="1" style="184" min="4" max="4"/>
  </cols>
  <sheetData>
    <row r="1" ht="31" customHeight="1" s="184">
      <c r="A1" s="62" t="inlineStr">
        <is>
          <t>Rincian Output</t>
        </is>
      </c>
      <c r="B1" s="62" t="inlineStr">
        <is>
          <t>Realisasi Volume RO</t>
        </is>
      </c>
      <c r="C1" s="62" t="inlineStr">
        <is>
          <t>Progres Pelaksanaan Kegiatan (Persen)</t>
        </is>
      </c>
      <c r="D1" s="67" t="inlineStr">
        <is>
          <t>Realisasi yang telah dilaksanakan (Berikan Narasi)</t>
        </is>
      </c>
    </row>
    <row r="2" ht="81" customHeight="1" s="184">
      <c r="A2" s="65" t="inlineStr">
        <is>
          <t>2898 BMA 007. Publikasi/Laporan Statistik Neraca Pengeluaran</t>
        </is>
      </c>
      <c r="B2" s="112" t="n">
        <v>0</v>
      </c>
      <c r="C2" s="88" t="n">
        <v>0.16</v>
      </c>
      <c r="D2" s="65" t="inlineStr">
        <is>
          <t>Pada triwulan I 2026, kegiatan Statistik Neraca Pengeluaran yang telah dilaksanakan antara lain, persiapan hingga diseminasi angka PDRB  Pengeluaran Triwulan IV Tahun 2025 dan persiapan kegiatan SKLNPT TW I 2026 (pemilihan dan pelatihan petugas serta alokasi beban tugas)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8"/>
  <sheetViews>
    <sheetView workbookViewId="0">
      <selection activeCell="D5" sqref="D5"/>
    </sheetView>
  </sheetViews>
  <sheetFormatPr baseColWidth="10" defaultColWidth="8.83203125" defaultRowHeight="15"/>
  <cols>
    <col width="31" customWidth="1" style="184" min="1" max="1"/>
    <col width="20.5" customWidth="1" style="184" min="2" max="2"/>
    <col width="23" customWidth="1" style="184" min="3" max="3"/>
    <col width="58.6640625" customWidth="1" style="184" min="4" max="4"/>
  </cols>
  <sheetData>
    <row r="1" ht="30" customHeight="1" s="184">
      <c r="A1" s="67" t="inlineStr">
        <is>
          <t>Rincian Output</t>
        </is>
      </c>
      <c r="B1" s="67" t="inlineStr">
        <is>
          <t>Realisasi Volume RO</t>
        </is>
      </c>
      <c r="C1" s="67" t="inlineStr">
        <is>
          <t>Progres Pelaksanaan Kegiatan (Persen)</t>
        </is>
      </c>
      <c r="D1" s="67" t="inlineStr">
        <is>
          <t>Realisasi yang telah dilaksanakan (Berikan Narasi)</t>
        </is>
      </c>
    </row>
    <row r="2" ht="30" customHeight="1" s="184">
      <c r="A2" s="73" t="inlineStr">
        <is>
          <t>2896 BMA U01. Publikasi/Laporan Indeks Pembangunan Manusia</t>
        </is>
      </c>
      <c r="B2" s="112" t="n">
        <v>0</v>
      </c>
      <c r="C2" s="114" t="n">
        <v>0</v>
      </c>
      <c r="D2" s="62" t="inlineStr">
        <is>
          <t>Belum dilaksanakan</t>
        </is>
      </c>
    </row>
    <row r="3" ht="45" customHeight="1" s="184">
      <c r="A3" s="73" t="inlineStr">
        <is>
          <t>2896 BMA 004. Publikasi/Laporan Analisis dan Pengembangan Statistik</t>
        </is>
      </c>
      <c r="B3" s="112" t="n">
        <v>0</v>
      </c>
      <c r="C3" s="114" t="n">
        <v>0</v>
      </c>
      <c r="D3" s="62" t="inlineStr">
        <is>
          <t>Kegiatan masih belum dimulai (masih dalam tahap perencanaan).</t>
        </is>
      </c>
    </row>
    <row r="4" ht="36.75" customHeight="1" s="184">
      <c r="A4" s="74" t="inlineStr">
        <is>
          <t>2896 QMA 006. Pemanfaatan Big Data untuk Statistik Resmi</t>
        </is>
      </c>
      <c r="B4" s="112" t="n">
        <v>0</v>
      </c>
      <c r="C4" s="114" t="n">
        <v>0</v>
      </c>
      <c r="D4" s="62" t="inlineStr">
        <is>
          <t>Belum dilaksanakan</t>
        </is>
      </c>
    </row>
    <row r="8">
      <c r="D8" t="inlineStr">
        <is>
          <t xml:space="preserve">                                                               </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C2" sqref="C2"/>
    </sheetView>
  </sheetViews>
  <sheetFormatPr baseColWidth="10" defaultColWidth="8.83203125" defaultRowHeight="15"/>
  <cols>
    <col width="30.6640625" customWidth="1" style="184" min="1" max="1"/>
    <col width="17.6640625" customWidth="1" style="184" min="2" max="2"/>
    <col width="26.6640625" customWidth="1" style="184" min="3" max="3"/>
    <col width="62.83203125" customWidth="1" style="184" min="4" max="4"/>
  </cols>
  <sheetData>
    <row r="1" ht="31" customHeight="1" s="184">
      <c r="A1" s="75" t="inlineStr">
        <is>
          <t>Rincian Output</t>
        </is>
      </c>
      <c r="B1" s="75" t="inlineStr">
        <is>
          <t>Realisasi Volume RO</t>
        </is>
      </c>
      <c r="C1" s="75" t="inlineStr">
        <is>
          <t>Progres Pelaksanaan Kegiatan (Persen)</t>
        </is>
      </c>
      <c r="D1" s="67" t="inlineStr">
        <is>
          <t>Realisasi yang telah dilaksanakan (Berikan Narasi)</t>
        </is>
      </c>
    </row>
    <row r="2" ht="90" customHeight="1" s="184">
      <c r="A2" s="65" t="inlineStr">
        <is>
          <t xml:space="preserve">2907 UBB 006. Pembinaan Desa Cinta Statistik </t>
        </is>
      </c>
      <c r="B2" s="69" t="n">
        <v>5</v>
      </c>
      <c r="C2" s="111" t="inlineStr">
        <is>
          <t>26,49%</t>
        </is>
      </c>
      <c r="D2" s="65" t="inlineStr">
        <is>
          <t>Telah dilakukan proses persiapan pembinaan kelurahan cinta statistik berupa koordinasi kepada organisasi perangkat daerah (OPD) sebagai bentuk dukungan kegiatan serta pertimbangan dalam pemilihan lokus pembinaan. Selain itu, koordinasi juga dilakukan pada level kecamatan dan kelurahan pembinaan sebagai bentuk pemberitahuan awal kepada kelurahan terkait program kelirahan cinta statistik.</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D2"/>
  <sheetViews>
    <sheetView workbookViewId="0">
      <selection activeCell="C2" sqref="C2"/>
    </sheetView>
  </sheetViews>
  <sheetFormatPr baseColWidth="10" defaultColWidth="8.83203125" defaultRowHeight="15"/>
  <cols>
    <col width="27.6640625" customWidth="1" style="184" min="1" max="1"/>
    <col width="22.6640625" customWidth="1" style="184" min="2" max="2"/>
    <col width="34.1640625" customWidth="1" style="184" min="3" max="3"/>
    <col width="70" customWidth="1" style="184" min="4" max="4"/>
  </cols>
  <sheetData>
    <row r="1" ht="30" customHeight="1" s="184">
      <c r="A1" s="67" t="inlineStr">
        <is>
          <t>Rincian Output</t>
        </is>
      </c>
      <c r="B1" s="67" t="inlineStr">
        <is>
          <t>Realisasi Volume RO</t>
        </is>
      </c>
      <c r="C1" s="67" t="inlineStr">
        <is>
          <t>Progres Pelaksanaan Kegiatan (Persen)</t>
        </is>
      </c>
      <c r="D1" s="67" t="inlineStr">
        <is>
          <t>Realisasi yang telah dilaksanakan (Berikan Narasi)</t>
        </is>
      </c>
    </row>
    <row r="2" ht="41.25" customHeight="1" s="184">
      <c r="A2" s="62" t="inlineStr">
        <is>
          <t>2897 QDB 003. Pembinaan Statistik Sektoral</t>
        </is>
      </c>
      <c r="B2" s="48" t="n">
        <v>0</v>
      </c>
      <c r="C2" s="111" t="n">
        <v>0.25</v>
      </c>
      <c r="D2" s="62" t="inlineStr">
        <is>
          <t>Pembinaan Statistik Sektoral yang telah dilaksanakan pada triwulan I yaitu identifikasi kegiatan statistik prioritas pembinaan dan pembinaan mengenai peningkatan kualitas data statistik sektoral</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3"/>
  <sheetViews>
    <sheetView workbookViewId="0">
      <selection activeCell="D6" sqref="D6"/>
    </sheetView>
  </sheetViews>
  <sheetFormatPr baseColWidth="10" defaultColWidth="8.83203125" defaultRowHeight="15"/>
  <cols>
    <col width="28.5" customWidth="1" style="184" min="1" max="1"/>
    <col width="17.33203125" customWidth="1" style="184" min="2" max="2"/>
    <col width="25.33203125" customWidth="1" style="184" min="3" max="3"/>
    <col width="53.83203125" customWidth="1" style="184" min="4" max="4"/>
  </cols>
  <sheetData>
    <row r="1" ht="30" customHeight="1" s="184">
      <c r="A1" s="67" t="inlineStr">
        <is>
          <t>Rincian Output</t>
        </is>
      </c>
      <c r="B1" s="67" t="inlineStr">
        <is>
          <t>Realisasi Volume RO</t>
        </is>
      </c>
      <c r="C1" s="67" t="inlineStr">
        <is>
          <t>Progres Pelaksanaan Kegiatan (Persen)</t>
        </is>
      </c>
      <c r="D1" s="67" t="inlineStr">
        <is>
          <t>Realisasi yang telah dilaksanakan (Berikan Narasi)</t>
        </is>
      </c>
    </row>
    <row r="2" ht="61" customHeight="1" s="184">
      <c r="A2" s="62" t="inlineStr">
        <is>
          <t>2897 BMA 004. Laporan Diseminasi dan Metadata Statistik</t>
        </is>
      </c>
      <c r="B2" s="48" t="n">
        <v>0</v>
      </c>
      <c r="C2" s="111" t="n">
        <v>0.65</v>
      </c>
      <c r="D2" s="62" t="inlineStr">
        <is>
          <t>Pada kegiatan focus groud discussion Kota Bima Dalam Angka telah dilaksanakan sosialisasi terkait rekomendasi statisik, metadata statistik Variabel dan Metadata statistik Indikator pada sesi pleno kualitas data statistik</t>
        </is>
      </c>
    </row>
    <row r="3" ht="61" customHeight="1" s="184">
      <c r="A3" s="62" t="inlineStr">
        <is>
          <t>2901 CAN 004. Pengembangan Infrastruktur dan Layanan Teknologi Informasi dan Komunikasi</t>
        </is>
      </c>
      <c r="B3" s="48" t="n">
        <v>0</v>
      </c>
      <c r="C3" s="111" t="n">
        <v>0.27</v>
      </c>
      <c r="D3" s="62" t="inlineStr">
        <is>
          <t>Telah dilakukan pembelian lisensi software:
- Capcut (Bulan Januari)
- Google One (Bulan Februari)
- Onedrive (Bulan Maret)</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7"/>
  <sheetViews>
    <sheetView workbookViewId="0">
      <selection activeCell="F5" sqref="F5"/>
    </sheetView>
  </sheetViews>
  <sheetFormatPr baseColWidth="10" defaultColWidth="8.83203125" defaultRowHeight="15"/>
  <cols>
    <col width="36.5" bestFit="1" customWidth="1" style="184" min="1" max="1"/>
    <col width="17" bestFit="1" customWidth="1" style="184" min="2" max="2"/>
    <col width="36.5" bestFit="1" customWidth="1" style="184" min="3" max="4"/>
  </cols>
  <sheetData>
    <row r="1" ht="61" customHeight="1" s="184">
      <c r="A1" s="62" t="inlineStr">
        <is>
          <t>Sasaran Kegiatan</t>
        </is>
      </c>
      <c r="B1" s="48" t="inlineStr">
        <is>
          <t>PAGU Awal (Rp)</t>
        </is>
      </c>
      <c r="C1" s="62" t="inlineStr">
        <is>
          <t>PAGU Revisi Sampai dengan triwulan berjalan (terisi jika satker melakukan revisi PAGU), jika tidak ada revisi PAGU maka diisi “-“ (Rp)</t>
        </is>
      </c>
      <c r="D1" s="62" t="inlineStr">
        <is>
          <t>Realisasi sampai dengan triwulan Berjalan (Rp)</t>
        </is>
      </c>
    </row>
    <row r="2" ht="46" customHeight="1" s="184">
      <c r="A2" s="62" t="inlineStr">
        <is>
          <t>Terwujudnya Penyediaan Data Dan Insight Statistik Kependudukan Dan Ketenagakerjaan Yang Berkualitas</t>
        </is>
      </c>
      <c r="B2" s="101" t="n">
        <v>98908000</v>
      </c>
      <c r="C2" s="101" t="n">
        <v>96658000</v>
      </c>
      <c r="D2" s="101" t="n">
        <v>23787660</v>
      </c>
    </row>
    <row r="3" ht="46" customHeight="1" s="184">
      <c r="A3" s="62" t="inlineStr">
        <is>
          <t>Terwujudnya Penyediaan Data Dan Insight Statistik Kesejahteraan Rakyat Yang Berkualitas</t>
        </is>
      </c>
      <c r="B3" s="101" t="n">
        <v>346573000</v>
      </c>
      <c r="C3" s="101" t="n">
        <v>349293000</v>
      </c>
      <c r="D3" s="101" t="n">
        <v>197965000</v>
      </c>
    </row>
    <row r="4" ht="46" customHeight="1" s="184">
      <c r="A4" s="62" t="inlineStr">
        <is>
          <t>Terwujudnya Penyediaan Data Dan Insight Statistik Ketahanan Sosial Yang Berkualitas</t>
        </is>
      </c>
      <c r="B4" s="101" t="n">
        <v>12006000</v>
      </c>
      <c r="C4" s="101" t="n">
        <v>11881000</v>
      </c>
      <c r="D4" s="101" t="n">
        <v>0</v>
      </c>
    </row>
    <row r="5" ht="46" customHeight="1" s="184">
      <c r="A5" s="68" t="inlineStr">
        <is>
          <t>Terwujudnya Penyediaan Data Dan Insight Statistik Sumber Daya Hayati Yang Berkualitas</t>
        </is>
      </c>
      <c r="B5" s="102" t="n">
        <v>121113000</v>
      </c>
      <c r="C5" s="102" t="n">
        <v>120583000</v>
      </c>
      <c r="D5" s="102" t="n">
        <v>15420000</v>
      </c>
    </row>
    <row r="6" ht="46" customHeight="1" s="184">
      <c r="A6" s="62" t="inlineStr">
        <is>
          <t>Terwujudnya Penyediaan Data Dan Insight Statistik Sumber Daya Mineral dan Konstruksi Yang Berkualitas</t>
        </is>
      </c>
      <c r="B6" s="101" t="n">
        <v>17625000</v>
      </c>
      <c r="C6" s="101" t="n">
        <v>15929000</v>
      </c>
      <c r="D6" s="102" t="n">
        <v>3625500</v>
      </c>
      <c r="E6" s="59" t="n"/>
    </row>
    <row r="7" ht="31" customHeight="1" s="184">
      <c r="A7" s="66" t="inlineStr">
        <is>
          <t>Terwujudnya Penyediaan Data Dan Insight Statistik Industri Yang Berkualitas</t>
        </is>
      </c>
      <c r="B7" s="105" t="n">
        <v>35921000</v>
      </c>
      <c r="C7" s="105" t="n">
        <v>36502000</v>
      </c>
      <c r="D7" s="102" t="n">
        <v>4239000</v>
      </c>
      <c r="E7" s="59" t="n"/>
    </row>
    <row r="8" ht="31" customHeight="1" s="184">
      <c r="A8" s="106" t="inlineStr">
        <is>
          <t>Terwujudnya Penyediaan Data Dan Insight Statistik Distribusi Yang Berkualitas</t>
        </is>
      </c>
      <c r="B8" s="105" t="n">
        <v>1849706000</v>
      </c>
      <c r="C8" s="105" t="n">
        <v>792883000</v>
      </c>
      <c r="D8" s="105" t="n">
        <v>10479600</v>
      </c>
    </row>
    <row r="9" ht="31" customHeight="1" s="184">
      <c r="A9" s="62" t="inlineStr">
        <is>
          <t>Terwujudnya Penyediaan Data Dan Insight Statistik Harga Yang Berkualitas</t>
        </is>
      </c>
      <c r="B9" s="105" t="n">
        <v>458491000</v>
      </c>
      <c r="C9" s="101" t="n">
        <v>453975000</v>
      </c>
      <c r="D9" s="101" t="n">
        <v>53428000</v>
      </c>
    </row>
    <row r="10" ht="31" customHeight="1" s="184">
      <c r="A10" s="62" t="inlineStr">
        <is>
          <t>Terwujudnya Penyediaan Data Dan Insight Statistik Jasa Yang Berkualitas</t>
        </is>
      </c>
      <c r="B10" s="105" t="n">
        <v>45059000</v>
      </c>
      <c r="C10" s="105" t="n">
        <v>43598000</v>
      </c>
      <c r="D10" s="107" t="n">
        <v>7887500</v>
      </c>
    </row>
    <row r="11" ht="31" customHeight="1" s="184">
      <c r="A11" s="62" t="inlineStr">
        <is>
          <t>Terwujudnya Penyediaan Data Dan Insight Statistik Lintas Sektor Yang Berkualitas</t>
        </is>
      </c>
      <c r="B11" s="101" t="n">
        <v>38368000</v>
      </c>
      <c r="C11" s="101" t="n">
        <v>37093000</v>
      </c>
      <c r="D11" s="101" t="n">
        <v>4694000</v>
      </c>
    </row>
    <row r="12" ht="46" customHeight="1" s="184">
      <c r="A12" s="62" t="inlineStr">
        <is>
          <t>Terwujudnya Kapasitas Tata Kelola Pemerintah Desa Untuk Menghasilkan Statistik Berkualitas</t>
        </is>
      </c>
      <c r="B12" s="101" t="n">
        <v>15995000</v>
      </c>
      <c r="C12" s="101" t="n">
        <v>11484000</v>
      </c>
      <c r="D12" s="101" t="n">
        <v>0</v>
      </c>
    </row>
    <row r="13" ht="46" customHeight="1" s="184">
      <c r="A13" s="62" t="inlineStr">
        <is>
          <t>Terwujudnya Penguatan Penyelenggaraan Pembinaan Statistik Sektoral Kementerian/Lembaga/Pemerintah Daerah</t>
        </is>
      </c>
      <c r="B13" s="101" t="n">
        <v>3530000</v>
      </c>
      <c r="C13" s="101" t="n">
        <v>2530000</v>
      </c>
      <c r="D13" s="101" t="n">
        <v>0</v>
      </c>
    </row>
    <row r="14" ht="16" customHeight="1" s="184">
      <c r="A14" s="62" t="inlineStr">
        <is>
          <t>Terwujudnya Kemudahan Akses Data Bps</t>
        </is>
      </c>
      <c r="B14" s="101" t="n">
        <v>28890000</v>
      </c>
      <c r="C14" s="101" t="n">
        <v>8455000</v>
      </c>
      <c r="D14" s="101" t="n">
        <v>1741800</v>
      </c>
    </row>
    <row r="15" ht="31" customHeight="1" s="184">
      <c r="A15" s="62" t="inlineStr">
        <is>
          <t>Terwujudnya Dukungan Manajemen Pada Bps Provinsi Dan Bps Kabupaten/Kota</t>
        </is>
      </c>
      <c r="B15" s="101" t="n">
        <v>4463215000</v>
      </c>
      <c r="C15" s="101" t="n">
        <v>4429149000</v>
      </c>
      <c r="D15" s="101" t="n">
        <v>1225841192</v>
      </c>
    </row>
    <row r="16" ht="16" customHeight="1" s="184">
      <c r="A16" s="62" t="inlineStr">
        <is>
          <t>Total</t>
        </is>
      </c>
      <c r="B16" s="103">
        <f>SUM(B2:B15)</f>
        <v/>
      </c>
      <c r="C16" s="103">
        <f>SUM(C2:C15)</f>
        <v/>
      </c>
      <c r="D16" s="103">
        <f>SUM(D2:D15)</f>
        <v/>
      </c>
    </row>
    <row r="17">
      <c r="C17" s="104"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2:AC73"/>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cols>
    <col width="2.5" customWidth="1" style="184" min="1" max="1"/>
    <col width="2.6640625" customWidth="1" style="184" min="2" max="2"/>
    <col width="4.83203125" customWidth="1" style="184" min="3" max="3"/>
    <col width="8.5" customWidth="1" style="184" min="4" max="15"/>
    <col hidden="1" width="8.5" customWidth="1" style="184" min="16" max="23"/>
    <col width="8.5" customWidth="1" style="184" min="24" max="29"/>
  </cols>
  <sheetData>
    <row r="1" ht="14.25" customHeight="1" s="184"/>
    <row r="2" ht="14.25" customHeight="1" s="184">
      <c r="A2" s="215" t="inlineStr">
        <is>
          <t>Indikator Kinerja/Uraian</t>
        </is>
      </c>
      <c r="B2" s="197" t="n"/>
      <c r="C2" s="197" t="n"/>
      <c r="D2" s="198" t="n"/>
      <c r="E2" s="216" t="inlineStr">
        <is>
          <t>Jenis</t>
        </is>
      </c>
      <c r="F2" s="216" t="inlineStr">
        <is>
          <t>Target</t>
        </is>
      </c>
      <c r="G2" s="216" t="inlineStr">
        <is>
          <t>Satuan</t>
        </is>
      </c>
      <c r="H2" s="216" t="inlineStr">
        <is>
          <t xml:space="preserve">Alokasi Target </t>
        </is>
      </c>
      <c r="I2" s="197" t="n"/>
      <c r="J2" s="197" t="n"/>
      <c r="K2" s="198" t="n"/>
      <c r="L2" s="216" t="inlineStr">
        <is>
          <t>Realisasi</t>
        </is>
      </c>
      <c r="M2" s="197" t="n"/>
      <c r="N2" s="197" t="n"/>
      <c r="O2" s="198" t="n"/>
      <c r="P2" s="34" t="inlineStr">
        <is>
          <t>Capaian Kinerja</t>
        </is>
      </c>
      <c r="Q2" s="199" t="n"/>
      <c r="R2" s="199" t="n"/>
      <c r="S2" s="199" t="n"/>
      <c r="T2" s="199" t="n"/>
      <c r="U2" s="199" t="n"/>
      <c r="V2" s="199" t="n"/>
      <c r="W2" s="200" t="n"/>
      <c r="X2" s="216" t="inlineStr">
        <is>
          <t>Analisis Pencapaian Kinerja di Triwulan Berjalan</t>
        </is>
      </c>
      <c r="Y2" s="199" t="n"/>
      <c r="Z2" s="199" t="n"/>
      <c r="AA2" s="199" t="n"/>
      <c r="AB2" s="199" t="n"/>
      <c r="AC2" s="200" t="n"/>
    </row>
    <row r="3" ht="14.25" customHeight="1" s="184">
      <c r="A3" s="203" t="n"/>
      <c r="D3" s="204" t="n"/>
      <c r="E3" s="205" t="n"/>
      <c r="F3" s="205" t="n"/>
      <c r="G3" s="205" t="n"/>
      <c r="H3" s="206" t="n"/>
      <c r="I3" s="207" t="n"/>
      <c r="J3" s="207" t="n"/>
      <c r="K3" s="208" t="n"/>
      <c r="L3" s="206" t="n"/>
      <c r="M3" s="207" t="n"/>
      <c r="N3" s="207" t="n"/>
      <c r="O3" s="208" t="n"/>
      <c r="P3" s="216" t="inlineStr">
        <is>
          <t>Terhadap Target Triwulanan</t>
        </is>
      </c>
      <c r="Q3" s="199" t="n"/>
      <c r="R3" s="199" t="n"/>
      <c r="S3" s="200" t="n"/>
      <c r="T3" s="34" t="inlineStr">
        <is>
          <t>Terhadap Target Setahun</t>
        </is>
      </c>
      <c r="U3" s="199" t="n"/>
      <c r="V3" s="199" t="n"/>
      <c r="W3" s="200" t="n"/>
      <c r="X3" s="216" t="inlineStr">
        <is>
          <t>Kendala</t>
        </is>
      </c>
      <c r="Y3" s="216" t="inlineStr">
        <is>
          <t>Solusi</t>
        </is>
      </c>
      <c r="Z3" s="216" t="inlineStr">
        <is>
          <t>RTL</t>
        </is>
      </c>
      <c r="AA3" s="216" t="inlineStr">
        <is>
          <t>PIC TL</t>
        </is>
      </c>
      <c r="AB3" s="217" t="inlineStr">
        <is>
          <t>Batas Waktu TL</t>
        </is>
      </c>
      <c r="AC3" s="217" t="inlineStr">
        <is>
          <t>Link Bukti Dukung</t>
        </is>
      </c>
    </row>
    <row r="4" ht="14.25" customHeight="1" s="184">
      <c r="A4" s="206" t="n"/>
      <c r="B4" s="207" t="n"/>
      <c r="C4" s="207" t="n"/>
      <c r="D4" s="208" t="n"/>
      <c r="E4" s="209" t="n"/>
      <c r="F4" s="209" t="n"/>
      <c r="G4" s="209" t="n"/>
      <c r="H4" s="34" t="inlineStr">
        <is>
          <t>TW1</t>
        </is>
      </c>
      <c r="I4" s="34" t="inlineStr">
        <is>
          <t>TW2</t>
        </is>
      </c>
      <c r="J4" s="34" t="inlineStr">
        <is>
          <t>TW3</t>
        </is>
      </c>
      <c r="K4" s="34" t="inlineStr">
        <is>
          <t>TW4</t>
        </is>
      </c>
      <c r="L4" s="34" t="inlineStr">
        <is>
          <t>TW1</t>
        </is>
      </c>
      <c r="M4" s="34" t="inlineStr">
        <is>
          <t>TW2</t>
        </is>
      </c>
      <c r="N4" s="34" t="inlineStr">
        <is>
          <t>TW3</t>
        </is>
      </c>
      <c r="O4" s="34" t="inlineStr">
        <is>
          <t>TW4</t>
        </is>
      </c>
      <c r="P4" s="34" t="inlineStr">
        <is>
          <t>TW1</t>
        </is>
      </c>
      <c r="Q4" s="34" t="inlineStr">
        <is>
          <t>TW2</t>
        </is>
      </c>
      <c r="R4" s="34" t="inlineStr">
        <is>
          <t>TW3</t>
        </is>
      </c>
      <c r="S4" s="34" t="inlineStr">
        <is>
          <t>TW4</t>
        </is>
      </c>
      <c r="T4" s="34" t="inlineStr">
        <is>
          <t>TW1</t>
        </is>
      </c>
      <c r="U4" s="34" t="inlineStr">
        <is>
          <t>TW2</t>
        </is>
      </c>
      <c r="V4" s="34" t="inlineStr">
        <is>
          <t>TW3</t>
        </is>
      </c>
      <c r="W4" s="34" t="inlineStr">
        <is>
          <t>TW4</t>
        </is>
      </c>
      <c r="X4" s="209" t="n"/>
      <c r="Y4" s="209" t="n"/>
      <c r="Z4" s="209" t="n"/>
      <c r="AA4" s="209" t="n"/>
      <c r="AB4" s="209" t="n"/>
      <c r="AC4" s="209" t="n"/>
    </row>
    <row r="5" ht="14.25" customHeight="1" s="184">
      <c r="A5" s="35" t="inlineStr">
        <is>
          <t>ESELON I</t>
        </is>
      </c>
      <c r="B5" s="36" t="n"/>
      <c r="C5" s="36" t="n"/>
      <c r="D5" s="36" t="n"/>
      <c r="E5" s="36" t="n"/>
      <c r="F5" s="36" t="n"/>
      <c r="G5" s="36" t="n"/>
      <c r="H5" s="37" t="n"/>
      <c r="I5" s="37" t="n"/>
      <c r="J5" s="37" t="n"/>
      <c r="K5" s="37" t="n"/>
      <c r="L5" s="37" t="n"/>
      <c r="M5" s="37" t="n"/>
      <c r="N5" s="37" t="n"/>
      <c r="O5" s="37" t="n"/>
      <c r="P5" s="37" t="n"/>
      <c r="Q5" s="37" t="n"/>
      <c r="R5" s="37" t="n"/>
      <c r="S5" s="37" t="n"/>
      <c r="T5" s="37" t="n"/>
      <c r="U5" s="37" t="n"/>
      <c r="V5" s="37" t="n"/>
      <c r="W5" s="37" t="n"/>
      <c r="X5" s="36" t="n"/>
      <c r="Y5" s="36" t="n"/>
      <c r="Z5" s="36" t="n"/>
      <c r="AA5" s="36" t="n"/>
      <c r="AB5" s="38" t="n"/>
      <c r="AC5" s="38" t="n"/>
    </row>
    <row r="6" ht="14.25" customHeight="1" s="184">
      <c r="A6" s="39" t="inlineStr">
        <is>
          <t>T1</t>
        </is>
      </c>
      <c r="B6" s="39" t="n"/>
      <c r="C6" s="39" t="n"/>
      <c r="D6" s="39" t="n"/>
      <c r="E6" s="39" t="n"/>
      <c r="F6" s="39" t="n"/>
      <c r="G6" s="39" t="n"/>
      <c r="H6" s="39" t="n"/>
      <c r="I6" s="39" t="n"/>
      <c r="J6" s="39" t="n"/>
      <c r="K6" s="39" t="n"/>
      <c r="L6" s="39" t="n"/>
      <c r="M6" s="39" t="n"/>
      <c r="N6" s="39" t="n"/>
      <c r="O6" s="39" t="n"/>
      <c r="P6" s="39" t="n"/>
      <c r="Q6" s="39" t="n"/>
      <c r="R6" s="39" t="n"/>
      <c r="S6" s="39" t="n"/>
      <c r="T6" s="39" t="n"/>
      <c r="U6" s="39" t="n"/>
      <c r="V6" s="39" t="n"/>
      <c r="W6" s="39" t="n"/>
      <c r="X6" s="39" t="n"/>
      <c r="Y6" s="39" t="n"/>
      <c r="Z6" s="39" t="n"/>
      <c r="AA6" s="39" t="n"/>
      <c r="AB6" s="39" t="n"/>
      <c r="AC6" s="39" t="n"/>
    </row>
    <row r="7" ht="14.25" customHeight="1" s="184">
      <c r="A7" s="39" t="n"/>
      <c r="B7" s="39" t="inlineStr">
        <is>
          <t>S1</t>
        </is>
      </c>
      <c r="C7" s="39" t="n"/>
      <c r="D7" s="39" t="n"/>
      <c r="E7" s="39" t="n"/>
      <c r="F7" s="39" t="n"/>
      <c r="G7" s="39" t="n"/>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row>
    <row r="8" ht="14.25" customHeight="1" s="184">
      <c r="A8" s="39" t="n"/>
      <c r="B8" s="39" t="n"/>
      <c r="C8" s="39" t="inlineStr">
        <is>
          <t>IKU 1</t>
        </is>
      </c>
      <c r="D8" s="39" t="n"/>
      <c r="E8" s="40" t="n"/>
      <c r="F8" s="40" t="n"/>
      <c r="G8" s="40" t="n"/>
      <c r="H8" s="40" t="n"/>
      <c r="I8" s="40" t="n"/>
      <c r="J8" s="40" t="n"/>
      <c r="K8" s="40" t="n"/>
      <c r="L8" s="40" t="n"/>
      <c r="M8" s="40" t="n"/>
      <c r="N8" s="40" t="n"/>
      <c r="O8" s="40" t="n"/>
      <c r="P8" s="39" t="n"/>
      <c r="Q8" s="39" t="n"/>
      <c r="R8" s="39" t="n"/>
      <c r="S8" s="39" t="n"/>
      <c r="T8" s="39" t="n"/>
      <c r="U8" s="39" t="n"/>
      <c r="V8" s="39" t="n"/>
      <c r="W8" s="39" t="n"/>
      <c r="X8" s="40" t="n"/>
      <c r="Y8" s="40" t="n"/>
      <c r="Z8" s="40" t="n"/>
      <c r="AA8" s="40" t="n"/>
      <c r="AB8" s="40" t="n"/>
      <c r="AC8" s="40" t="n"/>
    </row>
    <row r="9" ht="14.25" customHeight="1" s="184">
      <c r="A9" s="39" t="n"/>
      <c r="B9" s="39" t="n"/>
      <c r="C9" s="39" t="n"/>
      <c r="D9" s="39" t="inlineStr">
        <is>
          <t>Proksi 1.1</t>
        </is>
      </c>
      <c r="E9" s="40" t="n"/>
      <c r="F9" s="40" t="n"/>
      <c r="G9" s="40" t="n"/>
      <c r="H9" s="40" t="n"/>
      <c r="I9" s="40" t="n"/>
      <c r="J9" s="40" t="n"/>
      <c r="K9" s="40" t="n"/>
      <c r="L9" s="40" t="n"/>
      <c r="M9" s="40" t="n"/>
      <c r="N9" s="40" t="n"/>
      <c r="O9" s="40" t="n"/>
      <c r="P9" s="39" t="n"/>
      <c r="Q9" s="39" t="n"/>
      <c r="R9" s="39" t="n"/>
      <c r="S9" s="39" t="n"/>
      <c r="T9" s="39" t="n"/>
      <c r="U9" s="39" t="n"/>
      <c r="V9" s="39" t="n"/>
      <c r="W9" s="39" t="n"/>
      <c r="X9" s="40" t="n"/>
      <c r="Y9" s="40" t="n"/>
      <c r="Z9" s="40" t="n"/>
      <c r="AA9" s="40" t="n"/>
      <c r="AB9" s="40" t="n"/>
      <c r="AC9" s="40" t="n"/>
    </row>
    <row r="10" ht="14.25" customHeight="1" s="184">
      <c r="A10" s="39" t="n"/>
      <c r="B10" s="39" t="n"/>
      <c r="C10" s="39" t="n"/>
      <c r="D10" s="39" t="inlineStr">
        <is>
          <t>Proksi 1.2</t>
        </is>
      </c>
      <c r="E10" s="40" t="n"/>
      <c r="F10" s="40" t="n"/>
      <c r="G10" s="40" t="n"/>
      <c r="H10" s="40" t="n"/>
      <c r="I10" s="40" t="n"/>
      <c r="J10" s="40" t="n"/>
      <c r="K10" s="40" t="n"/>
      <c r="L10" s="40" t="n"/>
      <c r="M10" s="40" t="n"/>
      <c r="N10" s="40" t="n"/>
      <c r="O10" s="40" t="n"/>
      <c r="P10" s="39" t="n"/>
      <c r="Q10" s="39" t="n"/>
      <c r="R10" s="39" t="n"/>
      <c r="S10" s="39" t="n"/>
      <c r="T10" s="39" t="n"/>
      <c r="U10" s="39" t="n"/>
      <c r="V10" s="39" t="n"/>
      <c r="W10" s="39" t="n"/>
      <c r="X10" s="40" t="n"/>
      <c r="Y10" s="40" t="n"/>
      <c r="Z10" s="40" t="n"/>
      <c r="AA10" s="40" t="n"/>
      <c r="AB10" s="40" t="n"/>
      <c r="AC10" s="40" t="n"/>
    </row>
    <row r="11" ht="14.25" customHeight="1" s="184">
      <c r="A11" s="39" t="n"/>
      <c r="B11" s="39" t="n"/>
      <c r="C11" s="39" t="n"/>
      <c r="D11" s="39" t="inlineStr">
        <is>
          <t>Proksi 1.3</t>
        </is>
      </c>
      <c r="E11" s="40" t="n"/>
      <c r="F11" s="40" t="n"/>
      <c r="G11" s="40" t="n"/>
      <c r="H11" s="40" t="n"/>
      <c r="I11" s="40" t="n"/>
      <c r="J11" s="40" t="n"/>
      <c r="K11" s="40" t="n"/>
      <c r="L11" s="40" t="n"/>
      <c r="M11" s="40" t="n"/>
      <c r="N11" s="40" t="n"/>
      <c r="O11" s="40" t="n"/>
      <c r="P11" s="39" t="n"/>
      <c r="Q11" s="39" t="n"/>
      <c r="R11" s="39" t="n"/>
      <c r="S11" s="39" t="n"/>
      <c r="T11" s="39" t="n"/>
      <c r="U11" s="39" t="n"/>
      <c r="V11" s="39" t="n"/>
      <c r="W11" s="39" t="n"/>
      <c r="X11" s="40" t="n"/>
      <c r="Y11" s="40" t="n"/>
      <c r="Z11" s="40" t="n"/>
      <c r="AA11" s="40" t="n"/>
      <c r="AB11" s="40" t="n"/>
      <c r="AC11" s="40" t="n"/>
    </row>
    <row r="12" ht="14.25" customHeight="1" s="184">
      <c r="A12" s="39" t="n"/>
      <c r="B12" s="39" t="n"/>
      <c r="C12" s="39" t="inlineStr">
        <is>
          <t>IKU 2</t>
        </is>
      </c>
      <c r="D12" s="39" t="n"/>
      <c r="E12" s="40" t="n"/>
      <c r="F12" s="40" t="n"/>
      <c r="G12" s="40" t="n"/>
      <c r="H12" s="40" t="n"/>
      <c r="I12" s="40" t="n"/>
      <c r="J12" s="40" t="n"/>
      <c r="K12" s="40" t="n"/>
      <c r="L12" s="40" t="n"/>
      <c r="M12" s="40" t="n"/>
      <c r="N12" s="40" t="n"/>
      <c r="O12" s="40" t="n"/>
      <c r="P12" s="39" t="n"/>
      <c r="Q12" s="39" t="n"/>
      <c r="R12" s="39" t="n"/>
      <c r="S12" s="39" t="n"/>
      <c r="T12" s="39" t="n"/>
      <c r="U12" s="39" t="n"/>
      <c r="V12" s="39" t="n"/>
      <c r="W12" s="39" t="n"/>
      <c r="X12" s="40" t="n"/>
      <c r="Y12" s="40" t="n"/>
      <c r="Z12" s="40" t="n"/>
      <c r="AA12" s="40" t="n"/>
      <c r="AB12" s="40" t="n"/>
      <c r="AC12" s="40" t="n"/>
    </row>
    <row r="13" ht="14.25" customHeight="1" s="184">
      <c r="A13" s="39" t="n"/>
      <c r="B13" s="39" t="n"/>
      <c r="C13" s="39" t="n"/>
      <c r="D13" s="39" t="inlineStr">
        <is>
          <t>Proksi 2.1</t>
        </is>
      </c>
      <c r="E13" s="40" t="n"/>
      <c r="F13" s="40" t="n"/>
      <c r="G13" s="40" t="n"/>
      <c r="H13" s="40" t="n"/>
      <c r="I13" s="40" t="n"/>
      <c r="J13" s="40" t="n"/>
      <c r="K13" s="40" t="n"/>
      <c r="L13" s="40" t="n"/>
      <c r="M13" s="40" t="n"/>
      <c r="N13" s="40" t="n"/>
      <c r="O13" s="40" t="n"/>
      <c r="P13" s="39" t="n"/>
      <c r="Q13" s="39" t="n"/>
      <c r="R13" s="39" t="n"/>
      <c r="S13" s="39" t="n"/>
      <c r="T13" s="39" t="n"/>
      <c r="U13" s="39" t="n"/>
      <c r="V13" s="39" t="n"/>
      <c r="W13" s="39" t="n"/>
      <c r="X13" s="40" t="n"/>
      <c r="Y13" s="40" t="n"/>
      <c r="Z13" s="40" t="n"/>
      <c r="AA13" s="40" t="n"/>
      <c r="AB13" s="40" t="n"/>
      <c r="AC13" s="40" t="n"/>
    </row>
    <row r="14" ht="14.25" customHeight="1" s="184">
      <c r="A14" s="39" t="n"/>
      <c r="B14" s="39" t="n"/>
      <c r="C14" s="39" t="n"/>
      <c r="D14" s="39" t="inlineStr">
        <is>
          <t>Proksi 2.2</t>
        </is>
      </c>
      <c r="E14" s="40" t="n"/>
      <c r="F14" s="40" t="n"/>
      <c r="G14" s="40" t="n"/>
      <c r="H14" s="40" t="n"/>
      <c r="I14" s="40" t="n"/>
      <c r="J14" s="40" t="n"/>
      <c r="K14" s="40" t="n"/>
      <c r="L14" s="40" t="n"/>
      <c r="M14" s="40" t="n"/>
      <c r="N14" s="40" t="n"/>
      <c r="O14" s="40" t="n"/>
      <c r="P14" s="39" t="n"/>
      <c r="Q14" s="39" t="n"/>
      <c r="R14" s="39" t="n"/>
      <c r="S14" s="39" t="n"/>
      <c r="T14" s="39" t="n"/>
      <c r="U14" s="39" t="n"/>
      <c r="V14" s="39" t="n"/>
      <c r="W14" s="39" t="n"/>
      <c r="X14" s="40" t="n"/>
      <c r="Y14" s="40" t="n"/>
      <c r="Z14" s="40" t="n"/>
      <c r="AA14" s="40" t="n"/>
      <c r="AB14" s="40" t="n"/>
      <c r="AC14" s="40" t="n"/>
    </row>
    <row r="15" ht="14.25" customHeight="1" s="184">
      <c r="A15" s="39" t="n"/>
      <c r="B15" s="39" t="n"/>
      <c r="C15" s="39" t="n"/>
      <c r="D15" s="39" t="inlineStr">
        <is>
          <t>Proksi 2.3</t>
        </is>
      </c>
      <c r="E15" s="40" t="n"/>
      <c r="F15" s="40" t="n"/>
      <c r="G15" s="40" t="n"/>
      <c r="H15" s="40" t="n"/>
      <c r="I15" s="40" t="n"/>
      <c r="J15" s="40" t="n"/>
      <c r="K15" s="40" t="n"/>
      <c r="L15" s="40" t="n"/>
      <c r="M15" s="40" t="n"/>
      <c r="N15" s="40" t="n"/>
      <c r="O15" s="40" t="n"/>
      <c r="P15" s="39" t="n"/>
      <c r="Q15" s="39" t="n"/>
      <c r="R15" s="39" t="n"/>
      <c r="S15" s="39" t="n"/>
      <c r="T15" s="39" t="n"/>
      <c r="U15" s="39" t="n"/>
      <c r="V15" s="39" t="n"/>
      <c r="W15" s="39" t="n"/>
      <c r="X15" s="40" t="n"/>
      <c r="Y15" s="40" t="n"/>
      <c r="Z15" s="40" t="n"/>
      <c r="AA15" s="40" t="n"/>
      <c r="AB15" s="40" t="n"/>
      <c r="AC15" s="40" t="n"/>
    </row>
    <row r="16" ht="14.25" customHeight="1" s="184">
      <c r="A16" s="39" t="inlineStr">
        <is>
          <t>T2</t>
        </is>
      </c>
      <c r="B16" s="39" t="n"/>
      <c r="C16" s="39" t="n"/>
      <c r="D16" s="39" t="n"/>
      <c r="E16" s="39" t="n"/>
      <c r="F16" s="39" t="n"/>
      <c r="G16" s="39" t="n"/>
      <c r="H16" s="39" t="n"/>
      <c r="I16" s="39" t="n"/>
      <c r="J16" s="39" t="n"/>
      <c r="K16" s="39" t="n"/>
      <c r="L16" s="39" t="n"/>
      <c r="M16" s="39" t="n"/>
      <c r="N16" s="39" t="n"/>
      <c r="O16" s="39" t="n"/>
      <c r="P16" s="39" t="n"/>
      <c r="Q16" s="39" t="n"/>
      <c r="R16" s="39" t="n"/>
      <c r="S16" s="39" t="n"/>
      <c r="T16" s="39" t="n"/>
      <c r="U16" s="39" t="n"/>
      <c r="V16" s="39" t="n"/>
      <c r="W16" s="39" t="n"/>
      <c r="X16" s="39" t="n"/>
      <c r="Y16" s="39" t="n"/>
      <c r="Z16" s="39" t="n"/>
      <c r="AA16" s="39" t="n"/>
      <c r="AB16" s="39" t="n"/>
      <c r="AC16" s="39" t="n"/>
    </row>
    <row r="17" ht="14.25" customHeight="1" s="184">
      <c r="A17" s="39" t="n"/>
      <c r="B17" s="39" t="inlineStr">
        <is>
          <t>S2</t>
        </is>
      </c>
      <c r="C17" s="39" t="n"/>
      <c r="D17" s="39" t="n"/>
      <c r="E17" s="39" t="n"/>
      <c r="F17" s="39" t="n"/>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c r="AA17" s="39" t="n"/>
      <c r="AB17" s="39" t="n"/>
      <c r="AC17" s="39" t="n"/>
    </row>
    <row r="18" ht="14.25" customHeight="1" s="184">
      <c r="A18" s="39" t="n"/>
      <c r="B18" s="39" t="n"/>
      <c r="C18" s="39" t="inlineStr">
        <is>
          <t>IKU 3</t>
        </is>
      </c>
      <c r="D18" s="39" t="n"/>
      <c r="E18" s="40" t="n"/>
      <c r="F18" s="40" t="n"/>
      <c r="G18" s="40" t="n"/>
      <c r="H18" s="40" t="n"/>
      <c r="I18" s="40" t="n"/>
      <c r="J18" s="40" t="n"/>
      <c r="K18" s="40" t="n"/>
      <c r="L18" s="40" t="n"/>
      <c r="M18" s="40" t="n"/>
      <c r="N18" s="40" t="n"/>
      <c r="O18" s="40" t="n"/>
      <c r="P18" s="39" t="n"/>
      <c r="Q18" s="39" t="n"/>
      <c r="R18" s="39" t="n"/>
      <c r="S18" s="39" t="n"/>
      <c r="T18" s="39" t="n"/>
      <c r="U18" s="39" t="n"/>
      <c r="V18" s="39" t="n"/>
      <c r="W18" s="39" t="n"/>
      <c r="X18" s="40" t="n"/>
      <c r="Y18" s="40" t="n"/>
      <c r="Z18" s="40" t="n"/>
      <c r="AA18" s="40" t="n"/>
      <c r="AB18" s="40" t="n"/>
      <c r="AC18" s="40" t="n"/>
    </row>
    <row r="19" ht="14.25" customHeight="1" s="184">
      <c r="A19" s="39" t="n"/>
      <c r="B19" s="39" t="n"/>
      <c r="C19" s="39" t="n"/>
      <c r="D19" s="39" t="inlineStr">
        <is>
          <t>Proksi 3.1</t>
        </is>
      </c>
      <c r="E19" s="40" t="n"/>
      <c r="F19" s="40" t="n"/>
      <c r="G19" s="40" t="n"/>
      <c r="H19" s="40" t="n"/>
      <c r="I19" s="40" t="n"/>
      <c r="J19" s="40" t="n"/>
      <c r="K19" s="40" t="n"/>
      <c r="L19" s="40" t="n"/>
      <c r="M19" s="40" t="n"/>
      <c r="N19" s="40" t="n"/>
      <c r="O19" s="40" t="n"/>
      <c r="P19" s="39" t="n"/>
      <c r="Q19" s="39" t="n"/>
      <c r="R19" s="39" t="n"/>
      <c r="S19" s="39" t="n"/>
      <c r="T19" s="39" t="n"/>
      <c r="U19" s="39" t="n"/>
      <c r="V19" s="39" t="n"/>
      <c r="W19" s="39" t="n"/>
      <c r="X19" s="40" t="n"/>
      <c r="Y19" s="40" t="n"/>
      <c r="Z19" s="40" t="n"/>
      <c r="AA19" s="40" t="n"/>
      <c r="AB19" s="40" t="n"/>
      <c r="AC19" s="40" t="n"/>
    </row>
    <row r="20" ht="14.25" customHeight="1" s="184">
      <c r="A20" s="39" t="n"/>
      <c r="B20" s="39" t="n"/>
      <c r="C20" s="39" t="n"/>
      <c r="D20" s="39" t="inlineStr">
        <is>
          <t>Proksi 3.2</t>
        </is>
      </c>
      <c r="E20" s="40" t="n"/>
      <c r="F20" s="40" t="n"/>
      <c r="G20" s="40" t="n"/>
      <c r="H20" s="40" t="n"/>
      <c r="I20" s="40" t="n"/>
      <c r="J20" s="40" t="n"/>
      <c r="K20" s="40" t="n"/>
      <c r="L20" s="40" t="n"/>
      <c r="M20" s="40" t="n"/>
      <c r="N20" s="40" t="n"/>
      <c r="O20" s="40" t="n"/>
      <c r="P20" s="39" t="n"/>
      <c r="Q20" s="39" t="n"/>
      <c r="R20" s="39" t="n"/>
      <c r="S20" s="39" t="n"/>
      <c r="T20" s="39" t="n"/>
      <c r="U20" s="39" t="n"/>
      <c r="V20" s="39" t="n"/>
      <c r="W20" s="39" t="n"/>
      <c r="X20" s="40" t="n"/>
      <c r="Y20" s="40" t="n"/>
      <c r="Z20" s="40" t="n"/>
      <c r="AA20" s="40" t="n"/>
      <c r="AB20" s="40" t="n"/>
      <c r="AC20" s="40" t="n"/>
    </row>
    <row r="21" ht="14.25" customHeight="1" s="184">
      <c r="A21" s="39" t="n"/>
      <c r="B21" s="39" t="n"/>
      <c r="C21" s="39" t="n"/>
      <c r="D21" s="39" t="inlineStr">
        <is>
          <t>Proksi 4.3</t>
        </is>
      </c>
      <c r="E21" s="40" t="n"/>
      <c r="F21" s="40" t="n"/>
      <c r="G21" s="40" t="n"/>
      <c r="H21" s="40" t="n"/>
      <c r="I21" s="40" t="n"/>
      <c r="J21" s="40" t="n"/>
      <c r="K21" s="40" t="n"/>
      <c r="L21" s="40" t="n"/>
      <c r="M21" s="40" t="n"/>
      <c r="N21" s="40" t="n"/>
      <c r="O21" s="40" t="n"/>
      <c r="P21" s="39" t="n"/>
      <c r="Q21" s="39" t="n"/>
      <c r="R21" s="39" t="n"/>
      <c r="S21" s="39" t="n"/>
      <c r="T21" s="39" t="n"/>
      <c r="U21" s="39" t="n"/>
      <c r="V21" s="39" t="n"/>
      <c r="W21" s="39" t="n"/>
      <c r="X21" s="40" t="n"/>
      <c r="Y21" s="40" t="n"/>
      <c r="Z21" s="40" t="n"/>
      <c r="AA21" s="40" t="n"/>
      <c r="AB21" s="40" t="n"/>
      <c r="AC21" s="40" t="n"/>
    </row>
    <row r="22" ht="14.25" customHeight="1" s="184">
      <c r="A22" s="39" t="n"/>
      <c r="B22" s="39" t="n"/>
      <c r="C22" s="39" t="inlineStr">
        <is>
          <t>IKU 4</t>
        </is>
      </c>
      <c r="D22" s="39" t="n"/>
      <c r="E22" s="40" t="n"/>
      <c r="F22" s="40" t="n"/>
      <c r="G22" s="40" t="n"/>
      <c r="H22" s="40" t="n"/>
      <c r="I22" s="40" t="n"/>
      <c r="J22" s="40" t="n"/>
      <c r="K22" s="40" t="n"/>
      <c r="L22" s="40" t="n"/>
      <c r="M22" s="40" t="n"/>
      <c r="N22" s="40" t="n"/>
      <c r="O22" s="40" t="n"/>
      <c r="P22" s="39" t="n"/>
      <c r="Q22" s="39" t="n"/>
      <c r="R22" s="39" t="n"/>
      <c r="S22" s="39" t="n"/>
      <c r="T22" s="39" t="n"/>
      <c r="U22" s="39" t="n"/>
      <c r="V22" s="39" t="n"/>
      <c r="W22" s="39" t="n"/>
      <c r="X22" s="40" t="n"/>
      <c r="Y22" s="40" t="n"/>
      <c r="Z22" s="40" t="n"/>
      <c r="AA22" s="40" t="n"/>
      <c r="AB22" s="40" t="n"/>
      <c r="AC22" s="40" t="n"/>
    </row>
    <row r="23" ht="14.25" customHeight="1" s="184">
      <c r="A23" s="39" t="n"/>
      <c r="B23" s="39" t="n"/>
      <c r="C23" s="39" t="n"/>
      <c r="D23" s="39" t="inlineStr">
        <is>
          <t>Proksi 5.1</t>
        </is>
      </c>
      <c r="E23" s="40" t="n"/>
      <c r="F23" s="40" t="n"/>
      <c r="G23" s="40" t="n"/>
      <c r="H23" s="40" t="n"/>
      <c r="I23" s="40" t="n"/>
      <c r="J23" s="40" t="n"/>
      <c r="K23" s="40" t="n"/>
      <c r="L23" s="40" t="n"/>
      <c r="M23" s="40" t="n"/>
      <c r="N23" s="40" t="n"/>
      <c r="O23" s="40" t="n"/>
      <c r="P23" s="39" t="n"/>
      <c r="Q23" s="39" t="n"/>
      <c r="R23" s="39" t="n"/>
      <c r="S23" s="39" t="n"/>
      <c r="T23" s="39" t="n"/>
      <c r="U23" s="39" t="n"/>
      <c r="V23" s="39" t="n"/>
      <c r="W23" s="39" t="n"/>
      <c r="X23" s="40" t="n"/>
      <c r="Y23" s="40" t="n"/>
      <c r="Z23" s="40" t="n"/>
      <c r="AA23" s="40" t="n"/>
      <c r="AB23" s="40" t="n"/>
      <c r="AC23" s="40" t="n"/>
    </row>
    <row r="24" ht="14.25" customHeight="1" s="184">
      <c r="A24" s="39" t="n"/>
      <c r="B24" s="39" t="n"/>
      <c r="C24" s="39" t="n"/>
      <c r="D24" s="39" t="inlineStr">
        <is>
          <t>Proksi 5.2</t>
        </is>
      </c>
      <c r="E24" s="40" t="n"/>
      <c r="F24" s="40" t="n"/>
      <c r="G24" s="40" t="n"/>
      <c r="H24" s="40" t="n"/>
      <c r="I24" s="40" t="n"/>
      <c r="J24" s="40" t="n"/>
      <c r="K24" s="40" t="n"/>
      <c r="L24" s="40" t="n"/>
      <c r="M24" s="40" t="n"/>
      <c r="N24" s="40" t="n"/>
      <c r="O24" s="40" t="n"/>
      <c r="P24" s="39" t="n"/>
      <c r="Q24" s="39" t="n"/>
      <c r="R24" s="39" t="n"/>
      <c r="S24" s="39" t="n"/>
      <c r="T24" s="39" t="n"/>
      <c r="U24" s="39" t="n"/>
      <c r="V24" s="39" t="n"/>
      <c r="W24" s="39" t="n"/>
      <c r="X24" s="40" t="n"/>
      <c r="Y24" s="40" t="n"/>
      <c r="Z24" s="40" t="n"/>
      <c r="AA24" s="40" t="n"/>
      <c r="AB24" s="40" t="n"/>
      <c r="AC24" s="40" t="n"/>
    </row>
    <row r="25" ht="14.25" customHeight="1" s="184">
      <c r="A25" s="39" t="n"/>
      <c r="B25" s="39" t="n"/>
      <c r="C25" s="39" t="n"/>
      <c r="D25" s="39" t="inlineStr">
        <is>
          <t>Proksi 2.3</t>
        </is>
      </c>
      <c r="E25" s="40" t="n"/>
      <c r="F25" s="40" t="n"/>
      <c r="G25" s="40" t="n"/>
      <c r="H25" s="40" t="n"/>
      <c r="I25" s="40" t="n"/>
      <c r="J25" s="40" t="n"/>
      <c r="K25" s="40" t="n"/>
      <c r="L25" s="40" t="n"/>
      <c r="M25" s="40" t="n"/>
      <c r="N25" s="40" t="n"/>
      <c r="O25" s="40" t="n"/>
      <c r="P25" s="39" t="n"/>
      <c r="Q25" s="39" t="n"/>
      <c r="R25" s="39" t="n"/>
      <c r="S25" s="39" t="n"/>
      <c r="T25" s="39" t="n"/>
      <c r="U25" s="39" t="n"/>
      <c r="V25" s="39" t="n"/>
      <c r="W25" s="39" t="n"/>
      <c r="X25" s="40" t="n"/>
      <c r="Y25" s="40" t="n"/>
      <c r="Z25" s="40" t="n"/>
      <c r="AA25" s="40" t="n"/>
      <c r="AB25" s="40" t="n"/>
      <c r="AC25" s="40" t="n"/>
    </row>
    <row r="26" ht="14.25" customHeight="1" s="184">
      <c r="A26" s="39" t="n"/>
      <c r="B26" s="39" t="n"/>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c r="AA26" s="39" t="n"/>
      <c r="AB26" s="39" t="n"/>
      <c r="AC26" s="39" t="n"/>
    </row>
    <row r="27" hidden="1" ht="14.25" customHeight="1" s="184">
      <c r="A27" s="41" t="n"/>
      <c r="B27" s="41" t="n"/>
      <c r="C27" s="41" t="n"/>
      <c r="D27" s="41" t="n"/>
      <c r="E27" s="41" t="n"/>
      <c r="F27" s="41" t="n"/>
      <c r="G27" s="41" t="n"/>
      <c r="H27" s="41" t="n"/>
      <c r="I27" s="41" t="n"/>
      <c r="J27" s="41" t="n"/>
      <c r="K27" s="41" t="n"/>
      <c r="L27" s="41" t="n"/>
      <c r="M27" s="41" t="n"/>
      <c r="N27" s="42" t="n"/>
      <c r="O27" s="43" t="inlineStr">
        <is>
          <t>Capaian Proksi IKU 1</t>
        </is>
      </c>
      <c r="P27" s="39" t="inlineStr">
        <is>
          <t>rata2 capaian proksi IKU 1</t>
        </is>
      </c>
      <c r="Q27" s="39" t="n"/>
      <c r="R27" s="39" t="n"/>
      <c r="S27" s="39" t="n"/>
      <c r="T27" s="39" t="n"/>
      <c r="U27" s="39" t="n"/>
      <c r="V27" s="39" t="n"/>
      <c r="W27" s="39" t="n"/>
      <c r="X27" s="41" t="n"/>
      <c r="Y27" s="41" t="n"/>
      <c r="Z27" s="41" t="n"/>
      <c r="AA27" s="41" t="n"/>
      <c r="AB27" s="41" t="n"/>
      <c r="AC27" s="41" t="n"/>
    </row>
    <row r="28" hidden="1" ht="14.25" customHeight="1" s="184">
      <c r="A28" s="41" t="n"/>
      <c r="B28" s="41" t="n"/>
      <c r="C28" s="41" t="n"/>
      <c r="D28" s="41" t="n"/>
      <c r="E28" s="41" t="n"/>
      <c r="F28" s="41" t="n"/>
      <c r="G28" s="41" t="n"/>
      <c r="H28" s="41" t="n"/>
      <c r="I28" s="41" t="n"/>
      <c r="J28" s="41" t="n"/>
      <c r="K28" s="41" t="n"/>
      <c r="L28" s="41" t="n"/>
      <c r="M28" s="41" t="n"/>
      <c r="N28" s="42" t="n"/>
      <c r="O28" s="43" t="inlineStr">
        <is>
          <t>Capaian Proksi IKU 2</t>
        </is>
      </c>
      <c r="P28" s="39" t="inlineStr">
        <is>
          <t>rata2 capaian proksi IKU 2</t>
        </is>
      </c>
      <c r="Q28" s="39" t="n"/>
      <c r="R28" s="39" t="n"/>
      <c r="S28" s="39" t="n"/>
      <c r="T28" s="39" t="n"/>
      <c r="U28" s="39" t="n"/>
      <c r="V28" s="39" t="n"/>
      <c r="W28" s="39" t="n"/>
      <c r="X28" s="41" t="n"/>
      <c r="Y28" s="41" t="n"/>
      <c r="Z28" s="41" t="n"/>
      <c r="AA28" s="41" t="n"/>
      <c r="AB28" s="41" t="n"/>
      <c r="AC28" s="41" t="n"/>
    </row>
    <row r="29" hidden="1" ht="14.25" customHeight="1" s="184">
      <c r="A29" s="41" t="n"/>
      <c r="B29" s="41" t="n"/>
      <c r="C29" s="41" t="n"/>
      <c r="D29" s="41" t="n"/>
      <c r="E29" s="41" t="n"/>
      <c r="F29" s="41" t="n"/>
      <c r="G29" s="41" t="n"/>
      <c r="H29" s="41" t="n"/>
      <c r="I29" s="41" t="n"/>
      <c r="J29" s="41" t="n"/>
      <c r="K29" s="41" t="n"/>
      <c r="L29" s="41" t="n"/>
      <c r="M29" s="41" t="n"/>
      <c r="N29" s="42" t="n"/>
      <c r="O29" s="43" t="inlineStr">
        <is>
          <t>Capaian Proksi IKU 3</t>
        </is>
      </c>
      <c r="P29" s="39" t="inlineStr">
        <is>
          <t>rata2 capaian proksi IKU 3</t>
        </is>
      </c>
      <c r="Q29" s="39" t="n"/>
      <c r="R29" s="39" t="n"/>
      <c r="S29" s="39" t="n"/>
      <c r="T29" s="39" t="n"/>
      <c r="U29" s="39" t="n"/>
      <c r="V29" s="39" t="n"/>
      <c r="W29" s="39" t="n"/>
      <c r="X29" s="41" t="n"/>
      <c r="Y29" s="41" t="n"/>
      <c r="Z29" s="41" t="n"/>
      <c r="AA29" s="41" t="n"/>
      <c r="AB29" s="41" t="n"/>
      <c r="AC29" s="41" t="n"/>
    </row>
    <row r="30" hidden="1" ht="14.25" customHeight="1" s="184">
      <c r="A30" s="41" t="n"/>
      <c r="B30" s="41" t="n"/>
      <c r="C30" s="41" t="n"/>
      <c r="D30" s="41" t="n"/>
      <c r="E30" s="41" t="n"/>
      <c r="F30" s="41" t="n"/>
      <c r="G30" s="41" t="n"/>
      <c r="H30" s="41" t="n"/>
      <c r="I30" s="41" t="n"/>
      <c r="J30" s="41" t="n"/>
      <c r="K30" s="41" t="n"/>
      <c r="L30" s="41" t="n"/>
      <c r="M30" s="41" t="n"/>
      <c r="N30" s="42" t="n"/>
      <c r="O30" s="43" t="inlineStr">
        <is>
          <t>Capaian Proksi IKU 4</t>
        </is>
      </c>
      <c r="P30" s="39" t="inlineStr">
        <is>
          <t>rata2 capaian proksi IKU 4</t>
        </is>
      </c>
      <c r="Q30" s="39" t="n"/>
      <c r="R30" s="39" t="n"/>
      <c r="S30" s="39" t="n"/>
      <c r="T30" s="39" t="n"/>
      <c r="U30" s="39" t="n"/>
      <c r="V30" s="39" t="n"/>
      <c r="W30" s="39" t="n"/>
      <c r="X30" s="41" t="n"/>
      <c r="Y30" s="41" t="n"/>
      <c r="Z30" s="41" t="n"/>
      <c r="AA30" s="41" t="n"/>
      <c r="AB30" s="41" t="n"/>
      <c r="AC30" s="41" t="n"/>
    </row>
    <row r="31" hidden="1" ht="14.25" customHeight="1" s="184">
      <c r="A31" s="41" t="n"/>
      <c r="B31" s="41" t="n"/>
      <c r="C31" s="41" t="n"/>
      <c r="D31" s="41" t="n"/>
      <c r="E31" s="41" t="n"/>
      <c r="F31" s="41" t="n"/>
      <c r="G31" s="41" t="n"/>
      <c r="H31" s="41" t="n"/>
      <c r="I31" s="41" t="n"/>
      <c r="J31" s="41" t="n"/>
      <c r="K31" s="41" t="n"/>
      <c r="L31" s="41" t="n"/>
      <c r="M31" s="41" t="n"/>
      <c r="N31" s="42" t="n"/>
      <c r="O31" s="43" t="inlineStr">
        <is>
          <t>Capaian IKU 1</t>
        </is>
      </c>
      <c r="P31" s="39" t="n"/>
      <c r="Q31" s="39" t="n"/>
      <c r="R31" s="39" t="n"/>
      <c r="S31" s="39" t="n"/>
      <c r="T31" s="39" t="n"/>
      <c r="U31" s="39" t="n"/>
      <c r="V31" s="39" t="n"/>
      <c r="W31" s="39" t="n"/>
      <c r="X31" s="41" t="n"/>
      <c r="Y31" s="41" t="n"/>
      <c r="Z31" s="41" t="n"/>
      <c r="AA31" s="41" t="n"/>
      <c r="AB31" s="41" t="n"/>
      <c r="AC31" s="41" t="n"/>
    </row>
    <row r="32" hidden="1" ht="14.25" customHeight="1" s="184">
      <c r="A32" s="41" t="n"/>
      <c r="B32" s="41" t="n"/>
      <c r="C32" s="41" t="n"/>
      <c r="D32" s="41" t="n"/>
      <c r="E32" s="41" t="n"/>
      <c r="F32" s="41" t="n"/>
      <c r="G32" s="41" t="n"/>
      <c r="H32" s="41" t="n"/>
      <c r="I32" s="41" t="n"/>
      <c r="J32" s="41" t="n"/>
      <c r="K32" s="41" t="n"/>
      <c r="L32" s="41" t="n"/>
      <c r="M32" s="41" t="n"/>
      <c r="N32" s="42" t="n"/>
      <c r="O32" s="43" t="inlineStr">
        <is>
          <t>Capaian IKU 2</t>
        </is>
      </c>
      <c r="P32" s="39" t="n"/>
      <c r="Q32" s="39" t="n"/>
      <c r="R32" s="39" t="n"/>
      <c r="S32" s="39" t="n"/>
      <c r="T32" s="39" t="n"/>
      <c r="U32" s="39" t="n"/>
      <c r="V32" s="39" t="n"/>
      <c r="W32" s="39" t="n"/>
      <c r="X32" s="41" t="n"/>
      <c r="Y32" s="41" t="n"/>
      <c r="Z32" s="41" t="n"/>
      <c r="AA32" s="41" t="n"/>
      <c r="AB32" s="41" t="n"/>
      <c r="AC32" s="41" t="n"/>
    </row>
    <row r="33" hidden="1" ht="14.25" customHeight="1" s="184">
      <c r="A33" s="41" t="n"/>
      <c r="B33" s="41" t="n"/>
      <c r="C33" s="41" t="n"/>
      <c r="D33" s="41" t="n"/>
      <c r="E33" s="41" t="n"/>
      <c r="F33" s="41" t="n"/>
      <c r="G33" s="41" t="n"/>
      <c r="H33" s="41" t="n"/>
      <c r="I33" s="41" t="n"/>
      <c r="J33" s="41" t="n"/>
      <c r="K33" s="41" t="n"/>
      <c r="L33" s="41" t="n"/>
      <c r="M33" s="41" t="n"/>
      <c r="N33" s="42" t="n"/>
      <c r="O33" s="43" t="inlineStr">
        <is>
          <t>Capaian IKU 3</t>
        </is>
      </c>
      <c r="P33" s="39" t="n"/>
      <c r="Q33" s="39" t="n"/>
      <c r="R33" s="39" t="n"/>
      <c r="S33" s="39" t="n"/>
      <c r="T33" s="39" t="n"/>
      <c r="U33" s="39" t="n"/>
      <c r="V33" s="39" t="n"/>
      <c r="W33" s="39" t="n"/>
      <c r="X33" s="41" t="n"/>
      <c r="Y33" s="41" t="n"/>
      <c r="Z33" s="41" t="n"/>
      <c r="AA33" s="41" t="n"/>
      <c r="AB33" s="41" t="n"/>
      <c r="AC33" s="41" t="n"/>
    </row>
    <row r="34" hidden="1" ht="14.25" customHeight="1" s="184">
      <c r="A34" s="41" t="n"/>
      <c r="B34" s="41" t="n"/>
      <c r="C34" s="41" t="n"/>
      <c r="D34" s="41" t="n"/>
      <c r="E34" s="41" t="n"/>
      <c r="F34" s="41" t="n"/>
      <c r="G34" s="41" t="n"/>
      <c r="H34" s="41" t="n"/>
      <c r="I34" s="41" t="n"/>
      <c r="J34" s="41" t="n"/>
      <c r="K34" s="41" t="n"/>
      <c r="L34" s="41" t="n"/>
      <c r="M34" s="41" t="n"/>
      <c r="N34" s="42" t="n"/>
      <c r="O34" s="43" t="inlineStr">
        <is>
          <t>Capaian IKU 4</t>
        </is>
      </c>
      <c r="P34" s="39" t="n"/>
      <c r="Q34" s="39" t="n"/>
      <c r="R34" s="39" t="n"/>
      <c r="S34" s="39" t="n"/>
      <c r="T34" s="39" t="n"/>
      <c r="U34" s="39" t="n"/>
      <c r="V34" s="39" t="n"/>
      <c r="W34" s="39" t="n"/>
      <c r="X34" s="41" t="n"/>
      <c r="Y34" s="41" t="n"/>
      <c r="Z34" s="41" t="n"/>
      <c r="AA34" s="41" t="n"/>
      <c r="AB34" s="41" t="n"/>
      <c r="AC34" s="41" t="n"/>
    </row>
    <row r="35" hidden="1" ht="14.25" customHeight="1" s="184">
      <c r="A35" s="41" t="n"/>
      <c r="B35" s="41" t="n"/>
      <c r="C35" s="41" t="n"/>
      <c r="D35" s="41" t="n"/>
      <c r="E35" s="41" t="n"/>
      <c r="F35" s="41" t="n"/>
      <c r="G35" s="41" t="n"/>
      <c r="H35" s="41" t="n"/>
      <c r="I35" s="41" t="n"/>
      <c r="J35" s="41" t="n"/>
      <c r="K35" s="41" t="n"/>
      <c r="L35" s="41" t="n"/>
      <c r="M35" s="41" t="n"/>
      <c r="N35" s="42" t="n"/>
      <c r="O35" s="43" t="inlineStr">
        <is>
          <t>Capaian Sasaran 1</t>
        </is>
      </c>
      <c r="P35" s="44" t="inlineStr">
        <is>
          <t>rata2 capaian IKU 12</t>
        </is>
      </c>
      <c r="Q35" s="41" t="n"/>
      <c r="R35" s="41" t="n"/>
      <c r="S35" s="39" t="n"/>
      <c r="T35" s="41" t="n"/>
      <c r="U35" s="41" t="n"/>
      <c r="V35" s="41" t="n"/>
      <c r="W35" s="39" t="n"/>
      <c r="X35" s="41" t="n"/>
      <c r="Y35" s="41" t="n"/>
      <c r="Z35" s="41" t="n"/>
      <c r="AA35" s="41" t="n"/>
      <c r="AB35" s="41" t="n"/>
      <c r="AC35" s="41" t="n"/>
    </row>
    <row r="36" hidden="1" ht="14.25" customHeight="1" s="184">
      <c r="A36" s="41" t="n"/>
      <c r="B36" s="41" t="n"/>
      <c r="C36" s="41" t="n"/>
      <c r="D36" s="41" t="n"/>
      <c r="E36" s="41" t="n"/>
      <c r="F36" s="41" t="n"/>
      <c r="G36" s="41" t="n"/>
      <c r="H36" s="41" t="n"/>
      <c r="I36" s="41" t="n"/>
      <c r="J36" s="41" t="n"/>
      <c r="K36" s="41" t="n"/>
      <c r="L36" s="41" t="n"/>
      <c r="M36" s="41" t="n"/>
      <c r="N36" s="42" t="n"/>
      <c r="O36" s="43" t="inlineStr">
        <is>
          <t>Capaian Sasaran 2</t>
        </is>
      </c>
      <c r="P36" s="44" t="inlineStr">
        <is>
          <t>rata2 capaian IKU 34</t>
        </is>
      </c>
      <c r="Q36" s="41" t="n"/>
      <c r="R36" s="41" t="n"/>
      <c r="S36" s="39" t="n"/>
      <c r="T36" s="41" t="n"/>
      <c r="U36" s="41" t="n"/>
      <c r="V36" s="41" t="n"/>
      <c r="W36" s="39" t="n"/>
      <c r="X36" s="41" t="n"/>
      <c r="Y36" s="41" t="n"/>
      <c r="Z36" s="41" t="n"/>
      <c r="AA36" s="41" t="n"/>
      <c r="AB36" s="41" t="n"/>
      <c r="AC36" s="41" t="n"/>
    </row>
    <row r="37" hidden="1" ht="14.25" customHeight="1" s="184">
      <c r="A37" s="41" t="n"/>
      <c r="B37" s="41" t="n"/>
      <c r="C37" s="41" t="n"/>
      <c r="D37" s="41" t="n"/>
      <c r="E37" s="41" t="n"/>
      <c r="F37" s="41" t="n"/>
      <c r="G37" s="41" t="n"/>
      <c r="H37" s="41" t="n"/>
      <c r="I37" s="41" t="n"/>
      <c r="J37" s="41" t="n"/>
      <c r="K37" s="41" t="n"/>
      <c r="L37" s="41" t="n"/>
      <c r="M37" s="41" t="n"/>
      <c r="N37" s="42" t="n"/>
      <c r="O37" s="43" t="inlineStr">
        <is>
          <t>Capaian Tujuan 1</t>
        </is>
      </c>
      <c r="P37" s="41" t="n"/>
      <c r="Q37" s="41" t="n"/>
      <c r="R37" s="41" t="n"/>
      <c r="S37" s="39" t="n"/>
      <c r="T37" s="41" t="n"/>
      <c r="U37" s="41" t="n"/>
      <c r="V37" s="41" t="n"/>
      <c r="W37" s="39" t="n"/>
      <c r="X37" s="41" t="n"/>
      <c r="Y37" s="41" t="n"/>
      <c r="Z37" s="41" t="n"/>
      <c r="AA37" s="41" t="n"/>
      <c r="AB37" s="41" t="n"/>
      <c r="AC37" s="41" t="n"/>
    </row>
    <row r="38" hidden="1" ht="14.25" customHeight="1" s="184">
      <c r="A38" s="41" t="n"/>
      <c r="B38" s="41" t="n"/>
      <c r="C38" s="41" t="n"/>
      <c r="D38" s="41" t="n"/>
      <c r="E38" s="41" t="n"/>
      <c r="F38" s="41" t="n"/>
      <c r="G38" s="41" t="n"/>
      <c r="H38" s="41" t="n"/>
      <c r="I38" s="41" t="n"/>
      <c r="J38" s="41" t="n"/>
      <c r="K38" s="41" t="n"/>
      <c r="L38" s="41" t="n"/>
      <c r="M38" s="41" t="n"/>
      <c r="N38" s="42" t="n"/>
      <c r="O38" s="43" t="inlineStr">
        <is>
          <t>Capaian Tujuan 2</t>
        </is>
      </c>
      <c r="P38" s="41" t="n"/>
      <c r="Q38" s="41" t="n"/>
      <c r="R38" s="41" t="n"/>
      <c r="S38" s="39" t="n"/>
      <c r="T38" s="41" t="n"/>
      <c r="U38" s="41" t="n"/>
      <c r="V38" s="41" t="n"/>
      <c r="W38" s="39" t="n"/>
      <c r="X38" s="41" t="n"/>
      <c r="Y38" s="41" t="n"/>
      <c r="Z38" s="41" t="n"/>
      <c r="AA38" s="41" t="n"/>
      <c r="AB38" s="41" t="n"/>
      <c r="AC38" s="41" t="n"/>
    </row>
    <row r="39" ht="14.25" customHeight="1" s="18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c r="AA39" s="45" t="n"/>
      <c r="AB39" s="45" t="n"/>
      <c r="AC39" s="45" t="n"/>
    </row>
    <row r="40" ht="14.25" customHeight="1" s="184">
      <c r="A40" s="46" t="inlineStr">
        <is>
          <t>ESELON II</t>
        </is>
      </c>
    </row>
    <row r="41" ht="14.25" customHeight="1" s="184">
      <c r="A41" s="39" t="inlineStr">
        <is>
          <t>T1</t>
        </is>
      </c>
      <c r="B41" s="39" t="n"/>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c r="AA41" s="39" t="n"/>
      <c r="AB41" s="39" t="n"/>
      <c r="AC41" s="39" t="n"/>
    </row>
    <row r="42" ht="14.25" customHeight="1" s="184">
      <c r="A42" s="39" t="n"/>
      <c r="B42" s="39" t="inlineStr">
        <is>
          <t>S1</t>
        </is>
      </c>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row>
    <row r="43" ht="14.25" customHeight="1" s="184">
      <c r="A43" s="39" t="n"/>
      <c r="B43" s="39" t="n"/>
      <c r="C43" s="39" t="inlineStr">
        <is>
          <t>IKU 1</t>
        </is>
      </c>
      <c r="D43" s="39" t="n"/>
      <c r="E43" s="40" t="n"/>
      <c r="F43" s="40" t="n"/>
      <c r="G43" s="40" t="n"/>
      <c r="H43" s="40" t="n"/>
      <c r="I43" s="40" t="n"/>
      <c r="J43" s="40" t="n"/>
      <c r="K43" s="40" t="n"/>
      <c r="L43" s="40" t="n"/>
      <c r="M43" s="40" t="n"/>
      <c r="N43" s="40" t="n"/>
      <c r="O43" s="40" t="n"/>
      <c r="P43" s="39" t="n"/>
      <c r="Q43" s="39" t="n"/>
      <c r="R43" s="39" t="n"/>
      <c r="S43" s="39" t="n"/>
      <c r="T43" s="39" t="n"/>
      <c r="U43" s="39" t="n"/>
      <c r="V43" s="39" t="n"/>
      <c r="W43" s="39" t="n"/>
      <c r="X43" s="40" t="n"/>
      <c r="Y43" s="40" t="n"/>
      <c r="Z43" s="40" t="n"/>
      <c r="AA43" s="40" t="n"/>
      <c r="AB43" s="40" t="n"/>
      <c r="AC43" s="40" t="n"/>
    </row>
    <row r="44" ht="14.25" customHeight="1" s="184">
      <c r="A44" s="39" t="n"/>
      <c r="B44" s="39" t="n"/>
      <c r="C44" s="39" t="n"/>
      <c r="D44" s="39" t="inlineStr">
        <is>
          <t>Proksi 1.1</t>
        </is>
      </c>
      <c r="E44" s="40" t="n"/>
      <c r="F44" s="40" t="n"/>
      <c r="G44" s="40" t="n"/>
      <c r="H44" s="40" t="n"/>
      <c r="I44" s="40" t="n"/>
      <c r="J44" s="40" t="n"/>
      <c r="K44" s="40" t="n"/>
      <c r="L44" s="40" t="n"/>
      <c r="M44" s="40" t="n"/>
      <c r="N44" s="40" t="n"/>
      <c r="O44" s="40" t="n"/>
      <c r="P44" s="39" t="n"/>
      <c r="Q44" s="39" t="n"/>
      <c r="R44" s="39" t="n"/>
      <c r="S44" s="39" t="n"/>
      <c r="T44" s="39" t="n"/>
      <c r="U44" s="39" t="n"/>
      <c r="V44" s="39" t="n"/>
      <c r="W44" s="39" t="n"/>
      <c r="X44" s="40" t="n"/>
      <c r="Y44" s="40" t="n"/>
      <c r="Z44" s="40" t="n"/>
      <c r="AA44" s="40" t="n"/>
      <c r="AB44" s="40" t="n"/>
      <c r="AC44" s="40" t="n"/>
    </row>
    <row r="45" ht="14.25" customHeight="1" s="184">
      <c r="A45" s="39" t="n"/>
      <c r="B45" s="39" t="n"/>
      <c r="C45" s="39" t="n"/>
      <c r="D45" s="39" t="inlineStr">
        <is>
          <t>Proksi 1.2</t>
        </is>
      </c>
      <c r="E45" s="40" t="n"/>
      <c r="F45" s="40" t="n"/>
      <c r="G45" s="40" t="n"/>
      <c r="H45" s="40" t="n"/>
      <c r="I45" s="40" t="n"/>
      <c r="J45" s="40" t="n"/>
      <c r="K45" s="40" t="n"/>
      <c r="L45" s="40" t="n"/>
      <c r="M45" s="40" t="n"/>
      <c r="N45" s="40" t="n"/>
      <c r="O45" s="40" t="n"/>
      <c r="P45" s="39" t="n"/>
      <c r="Q45" s="39" t="n"/>
      <c r="R45" s="39" t="n"/>
      <c r="S45" s="39" t="n"/>
      <c r="T45" s="39" t="n"/>
      <c r="U45" s="39" t="n"/>
      <c r="V45" s="39" t="n"/>
      <c r="W45" s="39" t="n"/>
      <c r="X45" s="40" t="n"/>
      <c r="Y45" s="40" t="n"/>
      <c r="Z45" s="40" t="n"/>
      <c r="AA45" s="40" t="n"/>
      <c r="AB45" s="40" t="n"/>
      <c r="AC45" s="40" t="n"/>
    </row>
    <row r="46" ht="14.25" customHeight="1" s="184">
      <c r="A46" s="39" t="n"/>
      <c r="B46" s="39" t="n"/>
      <c r="C46" s="39" t="n"/>
      <c r="D46" s="39" t="inlineStr">
        <is>
          <t>Proksi 1.3</t>
        </is>
      </c>
      <c r="E46" s="40" t="n"/>
      <c r="F46" s="40" t="n"/>
      <c r="G46" s="40" t="n"/>
      <c r="H46" s="40" t="n"/>
      <c r="I46" s="40" t="n"/>
      <c r="J46" s="40" t="n"/>
      <c r="K46" s="40" t="n"/>
      <c r="L46" s="40" t="n"/>
      <c r="M46" s="40" t="n"/>
      <c r="N46" s="40" t="n"/>
      <c r="O46" s="40" t="n"/>
      <c r="P46" s="39" t="n"/>
      <c r="Q46" s="39" t="n"/>
      <c r="R46" s="39" t="n"/>
      <c r="S46" s="39" t="n"/>
      <c r="T46" s="39" t="n"/>
      <c r="U46" s="39" t="n"/>
      <c r="V46" s="39" t="n"/>
      <c r="W46" s="39" t="n"/>
      <c r="X46" s="40" t="n"/>
      <c r="Y46" s="40" t="n"/>
      <c r="Z46" s="40" t="n"/>
      <c r="AA46" s="40" t="n"/>
      <c r="AB46" s="40" t="n"/>
      <c r="AC46" s="40" t="n"/>
    </row>
    <row r="47" ht="14.25" customHeight="1" s="184">
      <c r="A47" s="39" t="n"/>
      <c r="B47" s="39" t="n"/>
      <c r="C47" s="39" t="inlineStr">
        <is>
          <t>IKU 2</t>
        </is>
      </c>
      <c r="D47" s="39" t="n"/>
      <c r="E47" s="40" t="n"/>
      <c r="F47" s="40" t="n"/>
      <c r="G47" s="40" t="n"/>
      <c r="H47" s="40" t="n"/>
      <c r="I47" s="40" t="n"/>
      <c r="J47" s="40" t="n"/>
      <c r="K47" s="40" t="n"/>
      <c r="L47" s="40" t="n"/>
      <c r="M47" s="40" t="n"/>
      <c r="N47" s="40" t="n"/>
      <c r="O47" s="40" t="n"/>
      <c r="P47" s="39" t="n"/>
      <c r="Q47" s="39" t="n"/>
      <c r="R47" s="39" t="n"/>
      <c r="S47" s="39" t="n"/>
      <c r="T47" s="39" t="n"/>
      <c r="U47" s="39" t="n"/>
      <c r="V47" s="39" t="n"/>
      <c r="W47" s="39" t="n"/>
      <c r="X47" s="40" t="n"/>
      <c r="Y47" s="40" t="n"/>
      <c r="Z47" s="40" t="n"/>
      <c r="AA47" s="40" t="n"/>
      <c r="AB47" s="40" t="n"/>
      <c r="AC47" s="40" t="n"/>
    </row>
    <row r="48" ht="14.25" customHeight="1" s="184">
      <c r="A48" s="39" t="n"/>
      <c r="B48" s="39" t="n"/>
      <c r="C48" s="39" t="n"/>
      <c r="D48" s="39" t="inlineStr">
        <is>
          <t>Proksi 2.1</t>
        </is>
      </c>
      <c r="E48" s="40" t="n"/>
      <c r="F48" s="40" t="n"/>
      <c r="G48" s="40" t="n"/>
      <c r="H48" s="40" t="n"/>
      <c r="I48" s="40" t="n"/>
      <c r="J48" s="40" t="n"/>
      <c r="K48" s="40" t="n"/>
      <c r="L48" s="40" t="n"/>
      <c r="M48" s="40" t="n"/>
      <c r="N48" s="40" t="n"/>
      <c r="O48" s="40" t="n"/>
      <c r="P48" s="39" t="n"/>
      <c r="Q48" s="39" t="n"/>
      <c r="R48" s="39" t="n"/>
      <c r="S48" s="39" t="n"/>
      <c r="T48" s="39" t="n"/>
      <c r="U48" s="39" t="n"/>
      <c r="V48" s="39" t="n"/>
      <c r="W48" s="39" t="n"/>
      <c r="X48" s="40" t="n"/>
      <c r="Y48" s="40" t="n"/>
      <c r="Z48" s="40" t="n"/>
      <c r="AA48" s="40" t="n"/>
      <c r="AB48" s="40" t="n"/>
      <c r="AC48" s="40" t="n"/>
    </row>
    <row r="49" ht="14.25" customHeight="1" s="184">
      <c r="A49" s="39" t="n"/>
      <c r="B49" s="39" t="n"/>
      <c r="C49" s="39" t="n"/>
      <c r="D49" s="39" t="inlineStr">
        <is>
          <t>Proksi 2.2</t>
        </is>
      </c>
      <c r="E49" s="40" t="n"/>
      <c r="F49" s="40" t="n"/>
      <c r="G49" s="40" t="n"/>
      <c r="H49" s="40" t="n"/>
      <c r="I49" s="40" t="n"/>
      <c r="J49" s="40" t="n"/>
      <c r="K49" s="40" t="n"/>
      <c r="L49" s="40" t="n"/>
      <c r="M49" s="40" t="n"/>
      <c r="N49" s="40" t="n"/>
      <c r="O49" s="40" t="n"/>
      <c r="P49" s="39" t="n"/>
      <c r="Q49" s="39" t="n"/>
      <c r="R49" s="39" t="n"/>
      <c r="S49" s="39" t="n"/>
      <c r="T49" s="39" t="n"/>
      <c r="U49" s="39" t="n"/>
      <c r="V49" s="39" t="n"/>
      <c r="W49" s="39" t="n"/>
      <c r="X49" s="40" t="n"/>
      <c r="Y49" s="40" t="n"/>
      <c r="Z49" s="40" t="n"/>
      <c r="AA49" s="40" t="n"/>
      <c r="AB49" s="40" t="n"/>
      <c r="AC49" s="40" t="n"/>
    </row>
    <row r="50" ht="14.25" customHeight="1" s="184">
      <c r="A50" s="39" t="n"/>
      <c r="B50" s="39" t="n"/>
      <c r="C50" s="39" t="n"/>
      <c r="D50" s="39" t="inlineStr">
        <is>
          <t>Proksi 2.3</t>
        </is>
      </c>
      <c r="E50" s="40" t="n"/>
      <c r="F50" s="40" t="n"/>
      <c r="G50" s="40" t="n"/>
      <c r="H50" s="40" t="n"/>
      <c r="I50" s="40" t="n"/>
      <c r="J50" s="40" t="n"/>
      <c r="K50" s="40" t="n"/>
      <c r="L50" s="40" t="n"/>
      <c r="M50" s="40" t="n"/>
      <c r="N50" s="40" t="n"/>
      <c r="O50" s="40" t="n"/>
      <c r="P50" s="39" t="n"/>
      <c r="Q50" s="39" t="n"/>
      <c r="R50" s="39" t="n"/>
      <c r="S50" s="39" t="n"/>
      <c r="T50" s="39" t="n"/>
      <c r="U50" s="39" t="n"/>
      <c r="V50" s="39" t="n"/>
      <c r="W50" s="39" t="n"/>
      <c r="X50" s="40" t="n"/>
      <c r="Y50" s="40" t="n"/>
      <c r="Z50" s="40" t="n"/>
      <c r="AA50" s="40" t="n"/>
      <c r="AB50" s="40" t="n"/>
      <c r="AC50" s="40" t="n"/>
    </row>
    <row r="51" ht="14.25" customHeight="1" s="184">
      <c r="A51" s="39" t="inlineStr">
        <is>
          <t>T2</t>
        </is>
      </c>
      <c r="B51" s="39" t="n"/>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39" t="n"/>
    </row>
    <row r="52" ht="14.25" customHeight="1" s="184">
      <c r="A52" s="39" t="n"/>
      <c r="B52" s="39" t="inlineStr">
        <is>
          <t>S2</t>
        </is>
      </c>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c r="AA52" s="39" t="n"/>
      <c r="AB52" s="39" t="n"/>
      <c r="AC52" s="39" t="n"/>
    </row>
    <row r="53" ht="14.25" customHeight="1" s="184">
      <c r="A53" s="39" t="n"/>
      <c r="B53" s="39" t="n"/>
      <c r="C53" s="39" t="inlineStr">
        <is>
          <t>IKU 3</t>
        </is>
      </c>
      <c r="D53" s="39" t="n"/>
      <c r="E53" s="40" t="n"/>
      <c r="F53" s="40" t="n"/>
      <c r="G53" s="40" t="n"/>
      <c r="H53" s="40" t="n"/>
      <c r="I53" s="40" t="n"/>
      <c r="J53" s="40" t="n"/>
      <c r="K53" s="40" t="n"/>
      <c r="L53" s="40" t="n"/>
      <c r="M53" s="40" t="n"/>
      <c r="N53" s="40" t="n"/>
      <c r="O53" s="40" t="n"/>
      <c r="P53" s="39" t="n"/>
      <c r="Q53" s="39" t="n"/>
      <c r="R53" s="39" t="n"/>
      <c r="S53" s="39" t="n"/>
      <c r="T53" s="39" t="n"/>
      <c r="U53" s="39" t="n"/>
      <c r="V53" s="39" t="n"/>
      <c r="W53" s="39" t="n"/>
      <c r="X53" s="40" t="n"/>
      <c r="Y53" s="40" t="n"/>
      <c r="Z53" s="40" t="n"/>
      <c r="AA53" s="40" t="n"/>
      <c r="AB53" s="40" t="n"/>
      <c r="AC53" s="40" t="n"/>
    </row>
    <row r="54" ht="14.25" customHeight="1" s="184">
      <c r="A54" s="39" t="n"/>
      <c r="B54" s="39" t="n"/>
      <c r="C54" s="39" t="n"/>
      <c r="D54" s="39" t="inlineStr">
        <is>
          <t>Proksi 3.1</t>
        </is>
      </c>
      <c r="E54" s="40" t="n"/>
      <c r="F54" s="40" t="n"/>
      <c r="G54" s="40" t="n"/>
      <c r="H54" s="40" t="n"/>
      <c r="I54" s="40" t="n"/>
      <c r="J54" s="40" t="n"/>
      <c r="K54" s="40" t="n"/>
      <c r="L54" s="40" t="n"/>
      <c r="M54" s="40" t="n"/>
      <c r="N54" s="40" t="n"/>
      <c r="O54" s="40" t="n"/>
      <c r="P54" s="39" t="n"/>
      <c r="Q54" s="39" t="n"/>
      <c r="R54" s="39" t="n"/>
      <c r="S54" s="39" t="n"/>
      <c r="T54" s="39" t="n"/>
      <c r="U54" s="39" t="n"/>
      <c r="V54" s="39" t="n"/>
      <c r="W54" s="39" t="n"/>
      <c r="X54" s="40" t="n"/>
      <c r="Y54" s="40" t="n"/>
      <c r="Z54" s="40" t="n"/>
      <c r="AA54" s="40" t="n"/>
      <c r="AB54" s="40" t="n"/>
      <c r="AC54" s="40" t="n"/>
    </row>
    <row r="55" ht="14.25" customHeight="1" s="184">
      <c r="A55" s="39" t="n"/>
      <c r="B55" s="39" t="n"/>
      <c r="C55" s="39" t="n"/>
      <c r="D55" s="39" t="inlineStr">
        <is>
          <t>Proksi 3.2</t>
        </is>
      </c>
      <c r="E55" s="40" t="n"/>
      <c r="F55" s="40" t="n"/>
      <c r="G55" s="40" t="n"/>
      <c r="H55" s="40" t="n"/>
      <c r="I55" s="40" t="n"/>
      <c r="J55" s="40" t="n"/>
      <c r="K55" s="40" t="n"/>
      <c r="L55" s="40" t="n"/>
      <c r="M55" s="40" t="n"/>
      <c r="N55" s="40" t="n"/>
      <c r="O55" s="40" t="n"/>
      <c r="P55" s="39" t="n"/>
      <c r="Q55" s="39" t="n"/>
      <c r="R55" s="39" t="n"/>
      <c r="S55" s="39" t="n"/>
      <c r="T55" s="39" t="n"/>
      <c r="U55" s="39" t="n"/>
      <c r="V55" s="39" t="n"/>
      <c r="W55" s="39" t="n"/>
      <c r="X55" s="40" t="n"/>
      <c r="Y55" s="40" t="n"/>
      <c r="Z55" s="40" t="n"/>
      <c r="AA55" s="40" t="n"/>
      <c r="AB55" s="40" t="n"/>
      <c r="AC55" s="40" t="n"/>
    </row>
    <row r="56" ht="14.25" customHeight="1" s="184">
      <c r="A56" s="39" t="n"/>
      <c r="B56" s="39" t="n"/>
      <c r="C56" s="39" t="n"/>
      <c r="D56" s="39" t="inlineStr">
        <is>
          <t>Proksi 4.3</t>
        </is>
      </c>
      <c r="E56" s="40" t="n"/>
      <c r="F56" s="40" t="n"/>
      <c r="G56" s="40" t="n"/>
      <c r="H56" s="40" t="n"/>
      <c r="I56" s="40" t="n"/>
      <c r="J56" s="40" t="n"/>
      <c r="K56" s="40" t="n"/>
      <c r="L56" s="40" t="n"/>
      <c r="M56" s="40" t="n"/>
      <c r="N56" s="40" t="n"/>
      <c r="O56" s="40" t="n"/>
      <c r="P56" s="39" t="n"/>
      <c r="Q56" s="39" t="n"/>
      <c r="R56" s="39" t="n"/>
      <c r="S56" s="39" t="n"/>
      <c r="T56" s="39" t="n"/>
      <c r="U56" s="39" t="n"/>
      <c r="V56" s="39" t="n"/>
      <c r="W56" s="39" t="n"/>
      <c r="X56" s="40" t="n"/>
      <c r="Y56" s="40" t="n"/>
      <c r="Z56" s="40" t="n"/>
      <c r="AA56" s="40" t="n"/>
      <c r="AB56" s="40" t="n"/>
      <c r="AC56" s="40" t="n"/>
    </row>
    <row r="57" ht="14.25" customHeight="1" s="184">
      <c r="A57" s="39" t="n"/>
      <c r="B57" s="39" t="n"/>
      <c r="C57" s="39" t="inlineStr">
        <is>
          <t>IKU 4</t>
        </is>
      </c>
      <c r="D57" s="39" t="n"/>
      <c r="E57" s="40" t="n"/>
      <c r="F57" s="40" t="n"/>
      <c r="G57" s="40" t="n"/>
      <c r="H57" s="40" t="n"/>
      <c r="I57" s="40" t="n"/>
      <c r="J57" s="40" t="n"/>
      <c r="K57" s="40" t="n"/>
      <c r="L57" s="40" t="n"/>
      <c r="M57" s="40" t="n"/>
      <c r="N57" s="40" t="n"/>
      <c r="O57" s="40" t="n"/>
      <c r="P57" s="39" t="n"/>
      <c r="Q57" s="39" t="n"/>
      <c r="R57" s="39" t="n"/>
      <c r="S57" s="39" t="n"/>
      <c r="T57" s="39" t="n"/>
      <c r="U57" s="39" t="n"/>
      <c r="V57" s="39" t="n"/>
      <c r="W57" s="39" t="n"/>
      <c r="X57" s="40" t="n"/>
      <c r="Y57" s="40" t="n"/>
      <c r="Z57" s="40" t="n"/>
      <c r="AA57" s="40" t="n"/>
      <c r="AB57" s="40" t="n"/>
      <c r="AC57" s="40" t="n"/>
    </row>
    <row r="58" ht="14.25" customHeight="1" s="184">
      <c r="A58" s="39" t="n"/>
      <c r="B58" s="39" t="n"/>
      <c r="C58" s="39" t="n"/>
      <c r="D58" s="39" t="inlineStr">
        <is>
          <t>Proksi 5.1</t>
        </is>
      </c>
      <c r="E58" s="40" t="n"/>
      <c r="F58" s="40" t="n"/>
      <c r="G58" s="40" t="n"/>
      <c r="H58" s="40" t="n"/>
      <c r="I58" s="40" t="n"/>
      <c r="J58" s="40" t="n"/>
      <c r="K58" s="40" t="n"/>
      <c r="L58" s="40" t="n"/>
      <c r="M58" s="40" t="n"/>
      <c r="N58" s="40" t="n"/>
      <c r="O58" s="40" t="n"/>
      <c r="P58" s="39" t="n"/>
      <c r="Q58" s="39" t="n"/>
      <c r="R58" s="39" t="n"/>
      <c r="S58" s="39" t="n"/>
      <c r="T58" s="39" t="n"/>
      <c r="U58" s="39" t="n"/>
      <c r="V58" s="39" t="n"/>
      <c r="W58" s="39" t="n"/>
      <c r="X58" s="40" t="n"/>
      <c r="Y58" s="40" t="n"/>
      <c r="Z58" s="40" t="n"/>
      <c r="AA58" s="40" t="n"/>
      <c r="AB58" s="40" t="n"/>
      <c r="AC58" s="40" t="n"/>
    </row>
    <row r="59" ht="14.25" customHeight="1" s="184">
      <c r="A59" s="39" t="n"/>
      <c r="B59" s="39" t="n"/>
      <c r="C59" s="39" t="n"/>
      <c r="D59" s="39" t="inlineStr">
        <is>
          <t>Proksi 5.2</t>
        </is>
      </c>
      <c r="E59" s="40" t="n"/>
      <c r="F59" s="40" t="n"/>
      <c r="G59" s="40" t="n"/>
      <c r="H59" s="40" t="n"/>
      <c r="I59" s="40" t="n"/>
      <c r="J59" s="40" t="n"/>
      <c r="K59" s="40" t="n"/>
      <c r="L59" s="40" t="n"/>
      <c r="M59" s="40" t="n"/>
      <c r="N59" s="40" t="n"/>
      <c r="O59" s="40" t="n"/>
      <c r="P59" s="39" t="n"/>
      <c r="Q59" s="39" t="n"/>
      <c r="R59" s="39" t="n"/>
      <c r="S59" s="39" t="n"/>
      <c r="T59" s="39" t="n"/>
      <c r="U59" s="39" t="n"/>
      <c r="V59" s="39" t="n"/>
      <c r="W59" s="39" t="n"/>
      <c r="X59" s="40" t="n"/>
      <c r="Y59" s="40" t="n"/>
      <c r="Z59" s="40" t="n"/>
      <c r="AA59" s="40" t="n"/>
      <c r="AB59" s="40" t="n"/>
      <c r="AC59" s="40" t="n"/>
    </row>
    <row r="60" ht="14.25" customHeight="1" s="184">
      <c r="A60" s="39" t="n"/>
      <c r="B60" s="39" t="n"/>
      <c r="C60" s="39" t="n"/>
      <c r="D60" s="39" t="inlineStr">
        <is>
          <t>Proksi 2.3</t>
        </is>
      </c>
      <c r="E60" s="40" t="n"/>
      <c r="F60" s="40" t="n"/>
      <c r="G60" s="40" t="n"/>
      <c r="H60" s="40" t="n"/>
      <c r="I60" s="40" t="n"/>
      <c r="J60" s="40" t="n"/>
      <c r="K60" s="40" t="n"/>
      <c r="L60" s="40" t="n"/>
      <c r="M60" s="40" t="n"/>
      <c r="N60" s="40" t="n"/>
      <c r="O60" s="40" t="n"/>
      <c r="P60" s="39" t="n"/>
      <c r="Q60" s="39" t="n"/>
      <c r="R60" s="39" t="n"/>
      <c r="S60" s="39" t="n"/>
      <c r="T60" s="39" t="n"/>
      <c r="U60" s="39" t="n"/>
      <c r="V60" s="39" t="n"/>
      <c r="W60" s="39" t="n"/>
      <c r="X60" s="40" t="n"/>
      <c r="Y60" s="40" t="n"/>
      <c r="Z60" s="40" t="n"/>
      <c r="AA60" s="40" t="n"/>
      <c r="AB60" s="40" t="n"/>
      <c r="AC60" s="40" t="n"/>
    </row>
    <row r="61" ht="14.25" customHeight="1" s="184">
      <c r="A61" s="39" t="n"/>
      <c r="B61" s="39" t="n"/>
      <c r="C61" s="39" t="n"/>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row>
    <row r="62" hidden="1" ht="14.25" customHeight="1" s="184">
      <c r="A62" s="41" t="n"/>
      <c r="B62" s="41" t="n"/>
      <c r="C62" s="41" t="n"/>
      <c r="D62" s="41" t="n"/>
      <c r="E62" s="41" t="n"/>
      <c r="F62" s="41" t="n"/>
      <c r="G62" s="41" t="n"/>
      <c r="H62" s="41" t="n"/>
      <c r="I62" s="41" t="n"/>
      <c r="J62" s="41" t="n"/>
      <c r="K62" s="41" t="n"/>
      <c r="L62" s="41" t="n"/>
      <c r="M62" s="41" t="n"/>
      <c r="N62" s="42" t="n"/>
      <c r="O62" s="43" t="inlineStr">
        <is>
          <t>Capaian Proksi IKU 1</t>
        </is>
      </c>
      <c r="P62" s="39" t="inlineStr">
        <is>
          <t>rata2 capaian proksi IKU 1</t>
        </is>
      </c>
      <c r="Q62" s="39" t="n"/>
      <c r="R62" s="39" t="n"/>
      <c r="S62" s="39" t="n"/>
      <c r="T62" s="39" t="n"/>
      <c r="U62" s="39" t="n"/>
      <c r="V62" s="39" t="n"/>
      <c r="W62" s="39" t="n"/>
      <c r="X62" s="41" t="n"/>
      <c r="Y62" s="41" t="n"/>
      <c r="Z62" s="41" t="n"/>
      <c r="AA62" s="41" t="n"/>
      <c r="AB62" s="41" t="n"/>
      <c r="AC62" s="41" t="n"/>
    </row>
    <row r="63" hidden="1" ht="14.25" customHeight="1" s="184">
      <c r="A63" s="41" t="n"/>
      <c r="B63" s="41" t="n"/>
      <c r="C63" s="41" t="n"/>
      <c r="D63" s="41" t="n"/>
      <c r="E63" s="41" t="n"/>
      <c r="F63" s="41" t="n"/>
      <c r="G63" s="41" t="n"/>
      <c r="H63" s="41" t="n"/>
      <c r="I63" s="41" t="n"/>
      <c r="J63" s="41" t="n"/>
      <c r="K63" s="41" t="n"/>
      <c r="L63" s="41" t="n"/>
      <c r="M63" s="41" t="n"/>
      <c r="N63" s="42" t="n"/>
      <c r="O63" s="43" t="inlineStr">
        <is>
          <t>Capaian Proksi IKU 2</t>
        </is>
      </c>
      <c r="P63" s="39" t="inlineStr">
        <is>
          <t>rata2 capaian proksi IKU 2</t>
        </is>
      </c>
      <c r="Q63" s="39" t="n"/>
      <c r="R63" s="39" t="n"/>
      <c r="S63" s="39" t="n"/>
      <c r="T63" s="39" t="n"/>
      <c r="U63" s="39" t="n"/>
      <c r="V63" s="39" t="n"/>
      <c r="W63" s="39" t="n"/>
      <c r="X63" s="41" t="n"/>
      <c r="Y63" s="41" t="n"/>
      <c r="Z63" s="41" t="n"/>
      <c r="AA63" s="41" t="n"/>
      <c r="AB63" s="41" t="n"/>
      <c r="AC63" s="41" t="n"/>
    </row>
    <row r="64" hidden="1" ht="14.25" customHeight="1" s="184">
      <c r="A64" s="41" t="n"/>
      <c r="B64" s="41" t="n"/>
      <c r="C64" s="41" t="n"/>
      <c r="D64" s="41" t="n"/>
      <c r="E64" s="41" t="n"/>
      <c r="F64" s="41" t="n"/>
      <c r="G64" s="41" t="n"/>
      <c r="H64" s="41" t="n"/>
      <c r="I64" s="41" t="n"/>
      <c r="J64" s="41" t="n"/>
      <c r="K64" s="41" t="n"/>
      <c r="L64" s="41" t="n"/>
      <c r="M64" s="41" t="n"/>
      <c r="N64" s="42" t="n"/>
      <c r="O64" s="43" t="inlineStr">
        <is>
          <t>Capaian Proksi IKU 3</t>
        </is>
      </c>
      <c r="P64" s="39" t="inlineStr">
        <is>
          <t>rata2 capaian proksi IKU 3</t>
        </is>
      </c>
      <c r="Q64" s="39" t="n"/>
      <c r="R64" s="39" t="n"/>
      <c r="S64" s="39" t="n"/>
      <c r="T64" s="39" t="n"/>
      <c r="U64" s="39" t="n"/>
      <c r="V64" s="39" t="n"/>
      <c r="W64" s="39" t="n"/>
      <c r="X64" s="41" t="n"/>
      <c r="Y64" s="41" t="n"/>
      <c r="Z64" s="41" t="n"/>
      <c r="AA64" s="41" t="n"/>
      <c r="AB64" s="41" t="n"/>
      <c r="AC64" s="41" t="n"/>
    </row>
    <row r="65" hidden="1" ht="14.25" customHeight="1" s="184">
      <c r="A65" s="41" t="n"/>
      <c r="B65" s="41" t="n"/>
      <c r="C65" s="41" t="n"/>
      <c r="D65" s="41" t="n"/>
      <c r="E65" s="41" t="n"/>
      <c r="F65" s="41" t="n"/>
      <c r="G65" s="41" t="n"/>
      <c r="H65" s="41" t="n"/>
      <c r="I65" s="41" t="n"/>
      <c r="J65" s="41" t="n"/>
      <c r="K65" s="41" t="n"/>
      <c r="L65" s="41" t="n"/>
      <c r="M65" s="41" t="n"/>
      <c r="N65" s="42" t="n"/>
      <c r="O65" s="43" t="inlineStr">
        <is>
          <t>Capaian Proksi IKU 4</t>
        </is>
      </c>
      <c r="P65" s="39" t="inlineStr">
        <is>
          <t>rata2 capaian proksi IKU 4</t>
        </is>
      </c>
      <c r="Q65" s="39" t="n"/>
      <c r="R65" s="39" t="n"/>
      <c r="S65" s="39" t="n"/>
      <c r="T65" s="39" t="n"/>
      <c r="U65" s="39" t="n"/>
      <c r="V65" s="39" t="n"/>
      <c r="W65" s="39" t="n"/>
      <c r="X65" s="41" t="n"/>
      <c r="Y65" s="41" t="n"/>
      <c r="Z65" s="41" t="n"/>
      <c r="AA65" s="41" t="n"/>
      <c r="AB65" s="41" t="n"/>
      <c r="AC65" s="41" t="n"/>
    </row>
    <row r="66" hidden="1" ht="14.25" customHeight="1" s="184">
      <c r="A66" s="41" t="n"/>
      <c r="B66" s="41" t="n"/>
      <c r="C66" s="41" t="n"/>
      <c r="D66" s="41" t="n"/>
      <c r="E66" s="41" t="n"/>
      <c r="F66" s="41" t="n"/>
      <c r="G66" s="41" t="n"/>
      <c r="H66" s="41" t="n"/>
      <c r="I66" s="41" t="n"/>
      <c r="J66" s="41" t="n"/>
      <c r="K66" s="41" t="n"/>
      <c r="L66" s="41" t="n"/>
      <c r="M66" s="41" t="n"/>
      <c r="N66" s="42" t="n"/>
      <c r="O66" s="43" t="inlineStr">
        <is>
          <t>Capaian IKU 1</t>
        </is>
      </c>
      <c r="P66" s="39" t="n"/>
      <c r="Q66" s="39" t="n"/>
      <c r="R66" s="39" t="n"/>
      <c r="S66" s="39" t="n"/>
      <c r="T66" s="39" t="n"/>
      <c r="U66" s="39" t="n"/>
      <c r="V66" s="39" t="n"/>
      <c r="W66" s="39" t="n"/>
      <c r="X66" s="41" t="n"/>
      <c r="Y66" s="41" t="n"/>
      <c r="Z66" s="41" t="n"/>
      <c r="AA66" s="41" t="n"/>
      <c r="AB66" s="41" t="n"/>
      <c r="AC66" s="41" t="n"/>
    </row>
    <row r="67" hidden="1" ht="14.25" customHeight="1" s="184">
      <c r="A67" s="41" t="n"/>
      <c r="B67" s="41" t="n"/>
      <c r="C67" s="41" t="n"/>
      <c r="D67" s="41" t="n"/>
      <c r="E67" s="41" t="n"/>
      <c r="F67" s="41" t="n"/>
      <c r="G67" s="41" t="n"/>
      <c r="H67" s="41" t="n"/>
      <c r="I67" s="41" t="n"/>
      <c r="J67" s="41" t="n"/>
      <c r="K67" s="41" t="n"/>
      <c r="L67" s="41" t="n"/>
      <c r="M67" s="41" t="n"/>
      <c r="N67" s="42" t="n"/>
      <c r="O67" s="43" t="inlineStr">
        <is>
          <t>Capaian IKU 2</t>
        </is>
      </c>
      <c r="P67" s="39" t="n"/>
      <c r="Q67" s="39" t="n"/>
      <c r="R67" s="39" t="n"/>
      <c r="S67" s="39" t="n"/>
      <c r="T67" s="39" t="n"/>
      <c r="U67" s="39" t="n"/>
      <c r="V67" s="39" t="n"/>
      <c r="W67" s="39" t="n"/>
      <c r="X67" s="41" t="n"/>
      <c r="Y67" s="41" t="n"/>
      <c r="Z67" s="41" t="n"/>
      <c r="AA67" s="41" t="n"/>
      <c r="AB67" s="41" t="n"/>
      <c r="AC67" s="41" t="n"/>
    </row>
    <row r="68" hidden="1" ht="14.25" customHeight="1" s="184">
      <c r="A68" s="41" t="n"/>
      <c r="B68" s="41" t="n"/>
      <c r="C68" s="41" t="n"/>
      <c r="D68" s="41" t="n"/>
      <c r="E68" s="41" t="n"/>
      <c r="F68" s="41" t="n"/>
      <c r="G68" s="41" t="n"/>
      <c r="H68" s="41" t="n"/>
      <c r="I68" s="41" t="n"/>
      <c r="J68" s="41" t="n"/>
      <c r="K68" s="41" t="n"/>
      <c r="L68" s="41" t="n"/>
      <c r="M68" s="41" t="n"/>
      <c r="N68" s="42" t="n"/>
      <c r="O68" s="43" t="inlineStr">
        <is>
          <t>Capaian IKU 3</t>
        </is>
      </c>
      <c r="P68" s="39" t="n"/>
      <c r="Q68" s="39" t="n"/>
      <c r="R68" s="39" t="n"/>
      <c r="S68" s="39" t="n"/>
      <c r="T68" s="39" t="n"/>
      <c r="U68" s="39" t="n"/>
      <c r="V68" s="39" t="n"/>
      <c r="W68" s="39" t="n"/>
      <c r="X68" s="41" t="n"/>
      <c r="Y68" s="41" t="n"/>
      <c r="Z68" s="41" t="n"/>
      <c r="AA68" s="41" t="n"/>
      <c r="AB68" s="41" t="n"/>
      <c r="AC68" s="41" t="n"/>
    </row>
    <row r="69" hidden="1" ht="14.25" customHeight="1" s="184">
      <c r="A69" s="41" t="n"/>
      <c r="B69" s="41" t="n"/>
      <c r="C69" s="41" t="n"/>
      <c r="D69" s="41" t="n"/>
      <c r="E69" s="41" t="n"/>
      <c r="F69" s="41" t="n"/>
      <c r="G69" s="41" t="n"/>
      <c r="H69" s="41" t="n"/>
      <c r="I69" s="41" t="n"/>
      <c r="J69" s="41" t="n"/>
      <c r="K69" s="41" t="n"/>
      <c r="L69" s="41" t="n"/>
      <c r="M69" s="41" t="n"/>
      <c r="N69" s="42" t="n"/>
      <c r="O69" s="43" t="inlineStr">
        <is>
          <t>Capaian IKU 4</t>
        </is>
      </c>
      <c r="P69" s="39" t="n"/>
      <c r="Q69" s="39" t="n"/>
      <c r="R69" s="39" t="n"/>
      <c r="S69" s="39" t="n"/>
      <c r="T69" s="39" t="n"/>
      <c r="U69" s="39" t="n"/>
      <c r="V69" s="39" t="n"/>
      <c r="W69" s="39" t="n"/>
      <c r="X69" s="41" t="n"/>
      <c r="Y69" s="41" t="n"/>
      <c r="Z69" s="41" t="n"/>
      <c r="AA69" s="41" t="n"/>
      <c r="AB69" s="41" t="n"/>
      <c r="AC69" s="41" t="n"/>
    </row>
    <row r="70" hidden="1" ht="14.25" customHeight="1" s="184">
      <c r="A70" s="41" t="n"/>
      <c r="B70" s="41" t="n"/>
      <c r="C70" s="41" t="n"/>
      <c r="D70" s="41" t="n"/>
      <c r="E70" s="41" t="n"/>
      <c r="F70" s="41" t="n"/>
      <c r="G70" s="41" t="n"/>
      <c r="H70" s="41" t="n"/>
      <c r="I70" s="41" t="n"/>
      <c r="J70" s="41" t="n"/>
      <c r="K70" s="41" t="n"/>
      <c r="L70" s="41" t="n"/>
      <c r="M70" s="41" t="n"/>
      <c r="N70" s="42" t="n"/>
      <c r="O70" s="43" t="inlineStr">
        <is>
          <t>Capaian Sasaran 1</t>
        </is>
      </c>
      <c r="P70" s="44" t="inlineStr">
        <is>
          <t>rata2 capaian IKU 12</t>
        </is>
      </c>
      <c r="Q70" s="41" t="n"/>
      <c r="R70" s="41" t="n"/>
      <c r="S70" s="39" t="n"/>
      <c r="T70" s="41" t="n"/>
      <c r="U70" s="41" t="n"/>
      <c r="V70" s="41" t="n"/>
      <c r="W70" s="39" t="n"/>
      <c r="X70" s="41" t="n"/>
      <c r="Y70" s="41" t="n"/>
      <c r="Z70" s="41" t="n"/>
      <c r="AA70" s="41" t="n"/>
      <c r="AB70" s="41" t="n"/>
      <c r="AC70" s="41" t="n"/>
    </row>
    <row r="71" hidden="1" ht="14.25" customHeight="1" s="184">
      <c r="A71" s="41" t="n"/>
      <c r="B71" s="41" t="n"/>
      <c r="C71" s="41" t="n"/>
      <c r="D71" s="41" t="n"/>
      <c r="E71" s="41" t="n"/>
      <c r="F71" s="41" t="n"/>
      <c r="G71" s="41" t="n"/>
      <c r="H71" s="41" t="n"/>
      <c r="I71" s="41" t="n"/>
      <c r="J71" s="41" t="n"/>
      <c r="K71" s="41" t="n"/>
      <c r="L71" s="41" t="n"/>
      <c r="M71" s="41" t="n"/>
      <c r="N71" s="42" t="n"/>
      <c r="O71" s="43" t="inlineStr">
        <is>
          <t>Capaian Sasaran 2</t>
        </is>
      </c>
      <c r="P71" s="44" t="inlineStr">
        <is>
          <t>rata2 capaian IKU 34</t>
        </is>
      </c>
      <c r="Q71" s="41" t="n"/>
      <c r="R71" s="41" t="n"/>
      <c r="S71" s="39" t="n"/>
      <c r="T71" s="41" t="n"/>
      <c r="U71" s="41" t="n"/>
      <c r="V71" s="41" t="n"/>
      <c r="W71" s="39" t="n"/>
      <c r="X71" s="41" t="n"/>
      <c r="Y71" s="41" t="n"/>
      <c r="Z71" s="41" t="n"/>
      <c r="AA71" s="41" t="n"/>
      <c r="AB71" s="41" t="n"/>
      <c r="AC71" s="41" t="n"/>
    </row>
    <row r="72" hidden="1" ht="14.25" customHeight="1" s="184">
      <c r="A72" s="41" t="n"/>
      <c r="B72" s="41" t="n"/>
      <c r="C72" s="41" t="n"/>
      <c r="D72" s="41" t="n"/>
      <c r="E72" s="41" t="n"/>
      <c r="F72" s="41" t="n"/>
      <c r="G72" s="41" t="n"/>
      <c r="H72" s="41" t="n"/>
      <c r="I72" s="41" t="n"/>
      <c r="J72" s="41" t="n"/>
      <c r="K72" s="41" t="n"/>
      <c r="L72" s="41" t="n"/>
      <c r="M72" s="41" t="n"/>
      <c r="N72" s="42" t="n"/>
      <c r="O72" s="43" t="inlineStr">
        <is>
          <t>Capaian Tujuan 1</t>
        </is>
      </c>
      <c r="P72" s="41" t="n"/>
      <c r="Q72" s="41" t="n"/>
      <c r="R72" s="41" t="n"/>
      <c r="S72" s="39" t="n"/>
      <c r="T72" s="41" t="n"/>
      <c r="U72" s="41" t="n"/>
      <c r="V72" s="41" t="n"/>
      <c r="W72" s="39" t="n"/>
      <c r="X72" s="41" t="n"/>
      <c r="Y72" s="41" t="n"/>
      <c r="Z72" s="41" t="n"/>
      <c r="AA72" s="41" t="n"/>
      <c r="AB72" s="41" t="n"/>
      <c r="AC72" s="41" t="n"/>
    </row>
    <row r="73" hidden="1" ht="14.25" customHeight="1" s="184">
      <c r="A73" s="41" t="n"/>
      <c r="B73" s="41" t="n"/>
      <c r="C73" s="41" t="n"/>
      <c r="D73" s="41" t="n"/>
      <c r="E73" s="41" t="n"/>
      <c r="F73" s="41" t="n"/>
      <c r="G73" s="41" t="n"/>
      <c r="H73" s="41" t="n"/>
      <c r="I73" s="41" t="n"/>
      <c r="J73" s="41" t="n"/>
      <c r="K73" s="41" t="n"/>
      <c r="L73" s="41" t="n"/>
      <c r="M73" s="41" t="n"/>
      <c r="N73" s="42" t="n"/>
      <c r="O73" s="43" t="inlineStr">
        <is>
          <t>Capaian Tujuan 2</t>
        </is>
      </c>
      <c r="P73" s="41" t="n"/>
      <c r="Q73" s="41" t="n"/>
      <c r="R73" s="41" t="n"/>
      <c r="S73" s="39" t="n"/>
      <c r="T73" s="41" t="n"/>
      <c r="U73" s="41" t="n"/>
      <c r="V73" s="41" t="n"/>
      <c r="W73" s="39" t="n"/>
      <c r="X73" s="41" t="n"/>
      <c r="Y73" s="41" t="n"/>
      <c r="Z73" s="41" t="n"/>
      <c r="AA73" s="41" t="n"/>
      <c r="AB73" s="41" t="n"/>
      <c r="AC73" s="41" t="n"/>
    </row>
    <row r="74" ht="14.25" customHeight="1" s="184"/>
    <row r="75" ht="14.25" customHeight="1" s="184"/>
    <row r="76" ht="14.25" customHeight="1" s="184"/>
    <row r="77" ht="14.25" customHeight="1" s="184"/>
    <row r="78" ht="14.25" customHeight="1" s="184"/>
    <row r="79" ht="14.25" customHeight="1" s="184"/>
    <row r="80" ht="14.25" customHeight="1" s="184"/>
    <row r="81" ht="14.25" customHeight="1" s="184"/>
    <row r="82" ht="14.25" customHeight="1" s="184"/>
    <row r="83" ht="14.25" customHeight="1" s="184"/>
    <row r="84" ht="14.25" customHeight="1" s="184"/>
    <row r="85" ht="14.25" customHeight="1" s="184"/>
    <row r="86" ht="14.25" customHeight="1" s="184"/>
    <row r="87" ht="14.25" customHeight="1" s="184"/>
    <row r="88" ht="14.25" customHeight="1" s="184"/>
    <row r="89" ht="14.25" customHeight="1" s="184"/>
    <row r="90" ht="14.25" customHeight="1" s="184"/>
    <row r="91" ht="14.25" customHeight="1" s="184"/>
    <row r="92" ht="14.25" customHeight="1" s="184"/>
    <row r="93" ht="14.25" customHeight="1" s="184"/>
    <row r="94" ht="14.25" customHeight="1" s="184"/>
    <row r="95" ht="14.25" customHeight="1" s="184"/>
    <row r="96" ht="14.25" customHeight="1" s="184"/>
    <row r="97" ht="14.25" customHeight="1" s="184"/>
    <row r="98" ht="14.25" customHeight="1" s="184"/>
    <row r="99" ht="14.25" customHeight="1" s="184"/>
    <row r="100" ht="14.25" customHeight="1" s="184"/>
    <row r="101" ht="14.25" customHeight="1" s="184"/>
    <row r="102" ht="14.25" customHeight="1" s="184"/>
    <row r="103" ht="14.25" customHeight="1" s="184"/>
    <row r="104" ht="14.25" customHeight="1" s="184"/>
    <row r="105" ht="14.25" customHeight="1" s="184"/>
    <row r="106" ht="14.25" customHeight="1" s="184"/>
    <row r="107" ht="14.25" customHeight="1" s="184"/>
    <row r="108" ht="14.25" customHeight="1" s="184"/>
    <row r="109" ht="14.25" customHeight="1" s="184"/>
    <row r="110" ht="14.25" customHeight="1" s="184"/>
    <row r="111" ht="14.25" customHeight="1" s="184"/>
    <row r="112" ht="14.25" customHeight="1" s="184"/>
    <row r="113" ht="14.25" customHeight="1" s="184"/>
    <row r="114" ht="14.25" customHeight="1" s="184"/>
    <row r="115" ht="14.25" customHeight="1" s="184"/>
    <row r="116" ht="14.25" customHeight="1" s="184"/>
    <row r="117" ht="14.25" customHeight="1" s="184"/>
    <row r="118" ht="14.25" customHeight="1" s="184"/>
    <row r="119" ht="14.25" customHeight="1" s="184"/>
    <row r="120" ht="14.25" customHeight="1" s="184"/>
    <row r="121" ht="14.25" customHeight="1" s="184"/>
    <row r="122" ht="14.25" customHeight="1" s="184"/>
    <row r="123" ht="14.25" customHeight="1" s="184"/>
    <row r="124" ht="14.25" customHeight="1" s="184"/>
    <row r="125" ht="14.25" customHeight="1" s="184"/>
    <row r="126" ht="14.25" customHeight="1" s="184"/>
    <row r="127" ht="14.25" customHeight="1" s="184"/>
    <row r="128" ht="14.25" customHeight="1" s="184"/>
    <row r="129" ht="14.25" customHeight="1" s="184"/>
    <row r="130" ht="14.25" customHeight="1" s="184"/>
    <row r="131" ht="14.25" customHeight="1" s="184"/>
    <row r="132" ht="14.25" customHeight="1" s="184"/>
    <row r="133" ht="14.25" customHeight="1" s="184"/>
    <row r="134" ht="14.25" customHeight="1" s="184"/>
    <row r="135" ht="14.25" customHeight="1" s="184"/>
    <row r="136" ht="14.25" customHeight="1" s="184"/>
    <row r="137" ht="14.25" customHeight="1" s="184"/>
    <row r="138" ht="14.25" customHeight="1" s="184"/>
    <row r="139" ht="14.25" customHeight="1" s="184"/>
    <row r="140" ht="14.25" customHeight="1" s="184"/>
    <row r="141" ht="14.25" customHeight="1" s="184"/>
    <row r="142" ht="14.25" customHeight="1" s="184"/>
    <row r="143" ht="14.25" customHeight="1" s="184"/>
    <row r="144" ht="14.25" customHeight="1" s="184"/>
    <row r="145" ht="14.25" customHeight="1" s="184"/>
    <row r="146" ht="14.25" customHeight="1" s="184"/>
    <row r="147" ht="14.25" customHeight="1" s="184"/>
    <row r="148" ht="14.25" customHeight="1" s="184"/>
    <row r="149" ht="14.25" customHeight="1" s="184"/>
    <row r="150" ht="14.25" customHeight="1" s="184"/>
    <row r="151" ht="14.25" customHeight="1" s="184"/>
    <row r="152" ht="14.25" customHeight="1" s="184"/>
    <row r="153" ht="14.25" customHeight="1" s="184"/>
    <row r="154" ht="14.25" customHeight="1" s="184"/>
    <row r="155" ht="14.25" customHeight="1" s="184"/>
    <row r="156" ht="14.25" customHeight="1" s="184"/>
    <row r="157" ht="14.25" customHeight="1" s="184"/>
    <row r="158" ht="14.25" customHeight="1" s="184"/>
    <row r="159" ht="14.25" customHeight="1" s="184"/>
    <row r="160" ht="14.25" customHeight="1" s="184"/>
    <row r="161" ht="14.25" customHeight="1" s="184"/>
    <row r="162" ht="14.25" customHeight="1" s="184"/>
    <row r="163" ht="14.25" customHeight="1" s="184"/>
    <row r="164" ht="14.25" customHeight="1" s="184"/>
    <row r="165" ht="14.25" customHeight="1" s="184"/>
    <row r="166" ht="14.25" customHeight="1" s="184"/>
    <row r="167" ht="14.25" customHeight="1" s="184"/>
    <row r="168" ht="14.25" customHeight="1" s="184"/>
    <row r="169" ht="14.25" customHeight="1" s="184"/>
    <row r="170" ht="14.25" customHeight="1" s="184"/>
    <row r="171" ht="14.25" customHeight="1" s="184"/>
    <row r="172" ht="14.25" customHeight="1" s="184"/>
    <row r="173" ht="14.25" customHeight="1" s="184"/>
    <row r="174" ht="14.25" customHeight="1" s="184"/>
    <row r="175" ht="14.25" customHeight="1" s="184"/>
    <row r="176" ht="14.25" customHeight="1" s="184"/>
    <row r="177" ht="14.25" customHeight="1" s="184"/>
    <row r="178" ht="14.25" customHeight="1" s="184"/>
    <row r="179" ht="14.25" customHeight="1" s="184"/>
    <row r="180" ht="14.25" customHeight="1" s="184"/>
    <row r="181" ht="14.25" customHeight="1" s="184"/>
    <row r="182" ht="14.25" customHeight="1" s="184"/>
    <row r="183" ht="14.25" customHeight="1" s="184"/>
    <row r="184" ht="14.25" customHeight="1" s="184"/>
    <row r="185" ht="14.25" customHeight="1" s="184"/>
    <row r="186" ht="14.25" customHeight="1" s="184"/>
    <row r="187" ht="14.25" customHeight="1" s="184"/>
    <row r="188" ht="14.25" customHeight="1" s="184"/>
    <row r="189" ht="14.25" customHeight="1" s="184"/>
    <row r="190" ht="14.25" customHeight="1" s="184"/>
    <row r="191" ht="14.25" customHeight="1" s="184"/>
    <row r="192" ht="14.25" customHeight="1" s="184"/>
    <row r="193" ht="14.25" customHeight="1" s="184"/>
    <row r="194" ht="14.25" customHeight="1" s="184"/>
    <row r="195" ht="14.25" customHeight="1" s="184"/>
    <row r="196" ht="14.25" customHeight="1" s="184"/>
    <row r="197" ht="14.25" customHeight="1" s="184"/>
    <row r="198" ht="14.25" customHeight="1" s="184"/>
    <row r="199" ht="14.25" customHeight="1" s="184"/>
    <row r="200" ht="14.25" customHeight="1" s="184"/>
    <row r="201" ht="14.25" customHeight="1" s="184"/>
    <row r="202" ht="14.25" customHeight="1" s="184"/>
    <row r="203" ht="14.25" customHeight="1" s="184"/>
    <row r="204" ht="14.25" customHeight="1" s="184"/>
    <row r="205" ht="14.25" customHeight="1" s="184"/>
    <row r="206" ht="14.25" customHeight="1" s="184"/>
    <row r="207" ht="14.25" customHeight="1" s="184"/>
    <row r="208" ht="14.25" customHeight="1" s="184"/>
    <row r="209" ht="14.25" customHeight="1" s="184"/>
    <row r="210" ht="14.25" customHeight="1" s="184"/>
    <row r="211" ht="14.25" customHeight="1" s="184"/>
    <row r="212" ht="14.25" customHeight="1" s="184"/>
    <row r="213" ht="14.25" customHeight="1" s="184"/>
    <row r="214" ht="14.25" customHeight="1" s="184"/>
    <row r="215" ht="14.25" customHeight="1" s="184"/>
    <row r="216" ht="14.25" customHeight="1" s="184"/>
    <row r="217" ht="14.25" customHeight="1" s="184"/>
    <row r="218" ht="14.25" customHeight="1" s="184"/>
    <row r="219" ht="14.25" customHeight="1" s="184"/>
    <row r="220" ht="14.25" customHeight="1" s="184"/>
    <row r="221" ht="14.25" customHeight="1" s="184"/>
    <row r="222" ht="14.25" customHeight="1" s="184"/>
    <row r="223" ht="14.25" customHeight="1" s="184"/>
    <row r="224" ht="14.25" customHeight="1" s="184"/>
    <row r="225" ht="14.25" customHeight="1" s="184"/>
    <row r="226" ht="14.25" customHeight="1" s="184"/>
    <row r="227" ht="14.25" customHeight="1" s="184"/>
    <row r="228" ht="14.25" customHeight="1" s="184"/>
    <row r="229" ht="14.25" customHeight="1" s="184"/>
    <row r="230" ht="14.25" customHeight="1" s="184"/>
    <row r="231" ht="14.25" customHeight="1" s="184"/>
    <row r="232" ht="14.25" customHeight="1" s="184"/>
    <row r="233" ht="14.25" customHeight="1" s="184"/>
    <row r="234" ht="14.25" customHeight="1" s="184"/>
    <row r="235" ht="14.25" customHeight="1" s="184"/>
    <row r="236" ht="14.25" customHeight="1" s="184"/>
    <row r="237" ht="14.25" customHeight="1" s="184"/>
    <row r="238" ht="14.25" customHeight="1" s="184"/>
    <row r="239" ht="14.25" customHeight="1" s="184"/>
    <row r="240" ht="14.25" customHeight="1" s="184"/>
    <row r="241" ht="14.25" customHeight="1" s="184"/>
    <row r="242" ht="14.25" customHeight="1" s="184"/>
    <row r="243" ht="14.25" customHeight="1" s="184"/>
    <row r="244" ht="14.25" customHeight="1" s="184"/>
    <row r="245" ht="14.25" customHeight="1" s="184"/>
    <row r="246" ht="14.25" customHeight="1" s="184"/>
    <row r="247" ht="14.25" customHeight="1" s="184"/>
    <row r="248" ht="14.25" customHeight="1" s="184"/>
    <row r="249" ht="14.25" customHeight="1" s="184"/>
    <row r="250" ht="14.25" customHeight="1" s="184"/>
    <row r="251" ht="14.25" customHeight="1" s="184"/>
    <row r="252" ht="14.25" customHeight="1" s="184"/>
    <row r="253" ht="14.25" customHeight="1" s="184"/>
    <row r="254" ht="14.25" customHeight="1" s="184"/>
    <row r="255" ht="14.25" customHeight="1" s="184"/>
    <row r="256" ht="14.25" customHeight="1" s="184"/>
    <row r="257" ht="14.25" customHeight="1" s="184"/>
    <row r="258" ht="14.25" customHeight="1" s="184"/>
    <row r="259" ht="14.25" customHeight="1" s="184"/>
    <row r="260" ht="14.25" customHeight="1" s="184"/>
    <row r="261" ht="14.25" customHeight="1" s="184"/>
    <row r="262" ht="14.25" customHeight="1" s="184"/>
    <row r="263" ht="14.25" customHeight="1" s="184"/>
    <row r="264" ht="14.25" customHeight="1" s="184"/>
    <row r="265" ht="14.25" customHeight="1" s="184"/>
    <row r="266" ht="14.25" customHeight="1" s="184"/>
    <row r="267" ht="14.25" customHeight="1" s="184"/>
    <row r="268" ht="14.25" customHeight="1" s="184"/>
    <row r="269" ht="14.25" customHeight="1" s="184"/>
    <row r="270" ht="14.25" customHeight="1" s="184"/>
    <row r="271" ht="14.25" customHeight="1" s="184"/>
    <row r="272" ht="14.25" customHeight="1" s="184"/>
    <row r="273" ht="14.2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mergeCells count="16">
    <mergeCell ref="T3:W3"/>
    <mergeCell ref="AC3:AC4"/>
    <mergeCell ref="AA3:AA4"/>
    <mergeCell ref="A2:D4"/>
    <mergeCell ref="F2:F4"/>
    <mergeCell ref="G2:G4"/>
    <mergeCell ref="P3:S3"/>
    <mergeCell ref="X3:X4"/>
    <mergeCell ref="Y3:Y4"/>
    <mergeCell ref="AB3:AB4"/>
    <mergeCell ref="Z3:Z4"/>
    <mergeCell ref="P2:W2"/>
    <mergeCell ref="H2:K3"/>
    <mergeCell ref="L2:O3"/>
    <mergeCell ref="E2:E4"/>
    <mergeCell ref="X2:AC2"/>
  </mergeCell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2:AC73"/>
  <sheetViews>
    <sheetView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2.6640625" defaultRowHeight="15" customHeight="1"/>
  <cols>
    <col width="2.5" customWidth="1" style="184" min="1" max="1"/>
    <col width="2.6640625" customWidth="1" style="184" min="2" max="2"/>
    <col width="4.83203125" customWidth="1" style="184" min="3" max="3"/>
    <col width="8.5" customWidth="1" style="184" min="4" max="23"/>
    <col hidden="1" width="8.5" customWidth="1" style="184" min="24" max="29"/>
  </cols>
  <sheetData>
    <row r="1" ht="14.25" customHeight="1" s="184"/>
    <row r="2" ht="14.25" customHeight="1" s="184">
      <c r="A2" s="216" t="inlineStr">
        <is>
          <t>Indikator Kinerja/Uraian</t>
        </is>
      </c>
      <c r="B2" s="197" t="n"/>
      <c r="C2" s="197" t="n"/>
      <c r="D2" s="198" t="n"/>
      <c r="E2" s="216" t="inlineStr">
        <is>
          <t>Jenis</t>
        </is>
      </c>
      <c r="F2" s="216" t="inlineStr">
        <is>
          <t>Target</t>
        </is>
      </c>
      <c r="G2" s="216" t="inlineStr">
        <is>
          <t>Satuan</t>
        </is>
      </c>
      <c r="H2" s="216" t="inlineStr">
        <is>
          <t xml:space="preserve">Alokasi Target </t>
        </is>
      </c>
      <c r="I2" s="197" t="n"/>
      <c r="J2" s="197" t="n"/>
      <c r="K2" s="198" t="n"/>
      <c r="L2" s="216" t="inlineStr">
        <is>
          <t>Realisasi</t>
        </is>
      </c>
      <c r="M2" s="197" t="n"/>
      <c r="N2" s="197" t="n"/>
      <c r="O2" s="198" t="n"/>
      <c r="P2" s="34" t="inlineStr">
        <is>
          <t>Capaian Kinerja</t>
        </is>
      </c>
      <c r="Q2" s="199" t="n"/>
      <c r="R2" s="199" t="n"/>
      <c r="S2" s="199" t="n"/>
      <c r="T2" s="199" t="n"/>
      <c r="U2" s="199" t="n"/>
      <c r="V2" s="199" t="n"/>
      <c r="W2" s="200" t="n"/>
      <c r="X2" s="216" t="inlineStr">
        <is>
          <t>Analisis Pencapaian Kinerja di Triwulan Berjalan</t>
        </is>
      </c>
      <c r="Y2" s="199" t="n"/>
      <c r="Z2" s="199" t="n"/>
      <c r="AA2" s="199" t="n"/>
      <c r="AB2" s="199" t="n"/>
      <c r="AC2" s="200" t="n"/>
    </row>
    <row r="3" ht="14.25" customHeight="1" s="184">
      <c r="A3" s="203" t="n"/>
      <c r="D3" s="204" t="n"/>
      <c r="E3" s="205" t="n"/>
      <c r="F3" s="205" t="n"/>
      <c r="G3" s="205" t="n"/>
      <c r="H3" s="206" t="n"/>
      <c r="I3" s="207" t="n"/>
      <c r="J3" s="207" t="n"/>
      <c r="K3" s="208" t="n"/>
      <c r="L3" s="206" t="n"/>
      <c r="M3" s="207" t="n"/>
      <c r="N3" s="207" t="n"/>
      <c r="O3" s="208" t="n"/>
      <c r="P3" s="216" t="inlineStr">
        <is>
          <t>Terhadap Target Triwulanan</t>
        </is>
      </c>
      <c r="Q3" s="199" t="n"/>
      <c r="R3" s="199" t="n"/>
      <c r="S3" s="200" t="n"/>
      <c r="T3" s="34" t="inlineStr">
        <is>
          <t>Terhadap Target Setahun</t>
        </is>
      </c>
      <c r="U3" s="199" t="n"/>
      <c r="V3" s="199" t="n"/>
      <c r="W3" s="200" t="n"/>
      <c r="X3" s="216" t="inlineStr">
        <is>
          <t>Kendala</t>
        </is>
      </c>
      <c r="Y3" s="216" t="inlineStr">
        <is>
          <t>Solusi</t>
        </is>
      </c>
      <c r="Z3" s="216" t="inlineStr">
        <is>
          <t>RTL</t>
        </is>
      </c>
      <c r="AA3" s="216" t="inlineStr">
        <is>
          <t>PIC TL</t>
        </is>
      </c>
      <c r="AB3" s="217" t="inlineStr">
        <is>
          <t>Batas Waktu TL</t>
        </is>
      </c>
      <c r="AC3" s="217" t="inlineStr">
        <is>
          <t>Link Bukti Dukung</t>
        </is>
      </c>
    </row>
    <row r="4" ht="14.25" customHeight="1" s="184">
      <c r="A4" s="206" t="n"/>
      <c r="B4" s="207" t="n"/>
      <c r="C4" s="207" t="n"/>
      <c r="D4" s="208" t="n"/>
      <c r="E4" s="209" t="n"/>
      <c r="F4" s="209" t="n"/>
      <c r="G4" s="209" t="n"/>
      <c r="H4" s="34" t="inlineStr">
        <is>
          <t>TW1</t>
        </is>
      </c>
      <c r="I4" s="34" t="inlineStr">
        <is>
          <t>TW2</t>
        </is>
      </c>
      <c r="J4" s="34" t="inlineStr">
        <is>
          <t>TW3</t>
        </is>
      </c>
      <c r="K4" s="34" t="inlineStr">
        <is>
          <t>TW4</t>
        </is>
      </c>
      <c r="L4" s="34" t="inlineStr">
        <is>
          <t>TW1</t>
        </is>
      </c>
      <c r="M4" s="34" t="inlineStr">
        <is>
          <t>TW2</t>
        </is>
      </c>
      <c r="N4" s="34" t="inlineStr">
        <is>
          <t>TW3</t>
        </is>
      </c>
      <c r="O4" s="34" t="inlineStr">
        <is>
          <t>TW4</t>
        </is>
      </c>
      <c r="P4" s="34" t="inlineStr">
        <is>
          <t>TW1</t>
        </is>
      </c>
      <c r="Q4" s="34" t="inlineStr">
        <is>
          <t>TW2</t>
        </is>
      </c>
      <c r="R4" s="34" t="inlineStr">
        <is>
          <t>TW3</t>
        </is>
      </c>
      <c r="S4" s="34" t="inlineStr">
        <is>
          <t>TW4</t>
        </is>
      </c>
      <c r="T4" s="34" t="inlineStr">
        <is>
          <t>TW1</t>
        </is>
      </c>
      <c r="U4" s="34" t="inlineStr">
        <is>
          <t>TW2</t>
        </is>
      </c>
      <c r="V4" s="34" t="inlineStr">
        <is>
          <t>TW3</t>
        </is>
      </c>
      <c r="W4" s="34" t="inlineStr">
        <is>
          <t>TW4</t>
        </is>
      </c>
      <c r="X4" s="209" t="n"/>
      <c r="Y4" s="209" t="n"/>
      <c r="Z4" s="209" t="n"/>
      <c r="AA4" s="209" t="n"/>
      <c r="AB4" s="209" t="n"/>
      <c r="AC4" s="209" t="n"/>
    </row>
    <row r="5" ht="14.25" customHeight="1" s="184">
      <c r="A5" s="35" t="inlineStr">
        <is>
          <t>ESELON I</t>
        </is>
      </c>
      <c r="B5" s="36" t="n"/>
      <c r="C5" s="36" t="n"/>
      <c r="D5" s="36" t="n"/>
      <c r="E5" s="36" t="n"/>
      <c r="F5" s="36" t="n"/>
      <c r="G5" s="36" t="n"/>
      <c r="H5" s="37" t="n"/>
      <c r="I5" s="37" t="n"/>
      <c r="J5" s="37" t="n"/>
      <c r="K5" s="37" t="n"/>
      <c r="L5" s="37" t="n"/>
      <c r="M5" s="37" t="n"/>
      <c r="N5" s="37" t="n"/>
      <c r="O5" s="37" t="n"/>
      <c r="P5" s="37" t="n"/>
      <c r="Q5" s="37" t="n"/>
      <c r="R5" s="37" t="n"/>
      <c r="S5" s="37" t="n"/>
      <c r="T5" s="37" t="n"/>
      <c r="U5" s="37" t="n"/>
      <c r="V5" s="37" t="n"/>
      <c r="W5" s="37" t="n"/>
      <c r="X5" s="36" t="n"/>
      <c r="Y5" s="36" t="n"/>
      <c r="Z5" s="36" t="n"/>
      <c r="AA5" s="36" t="n"/>
      <c r="AB5" s="38" t="n"/>
      <c r="AC5" s="38" t="n"/>
    </row>
    <row r="6" ht="14.25" customHeight="1" s="184">
      <c r="A6" s="39" t="inlineStr">
        <is>
          <t>T1</t>
        </is>
      </c>
      <c r="B6" s="39" t="n"/>
      <c r="C6" s="39" t="n"/>
      <c r="D6" s="39" t="n"/>
      <c r="E6" s="39" t="n"/>
      <c r="F6" s="39" t="n"/>
      <c r="G6" s="39" t="n"/>
      <c r="H6" s="39" t="n"/>
      <c r="I6" s="39" t="n"/>
      <c r="J6" s="39" t="n"/>
      <c r="K6" s="39" t="n"/>
      <c r="L6" s="39" t="n"/>
      <c r="M6" s="39" t="n"/>
      <c r="N6" s="39" t="n"/>
      <c r="O6" s="39" t="n"/>
      <c r="P6" s="39" t="n"/>
      <c r="Q6" s="39" t="n"/>
      <c r="R6" s="39" t="n"/>
      <c r="S6" s="39" t="n"/>
      <c r="T6" s="39" t="n"/>
      <c r="U6" s="39" t="n"/>
      <c r="V6" s="39" t="n"/>
      <c r="W6" s="39" t="n"/>
      <c r="X6" s="39" t="n"/>
      <c r="Y6" s="39" t="n"/>
      <c r="Z6" s="39" t="n"/>
      <c r="AA6" s="39" t="n"/>
      <c r="AB6" s="39" t="n"/>
      <c r="AC6" s="39" t="n"/>
    </row>
    <row r="7" ht="14.25" customHeight="1" s="184">
      <c r="A7" s="39" t="n"/>
      <c r="B7" s="39" t="inlineStr">
        <is>
          <t>S1</t>
        </is>
      </c>
      <c r="C7" s="39" t="n"/>
      <c r="D7" s="39" t="n"/>
      <c r="E7" s="39" t="n"/>
      <c r="F7" s="39" t="n"/>
      <c r="G7" s="39" t="n"/>
      <c r="H7" s="39" t="n"/>
      <c r="I7" s="39" t="n"/>
      <c r="J7" s="39" t="n"/>
      <c r="K7" s="39" t="n"/>
      <c r="L7" s="39" t="n"/>
      <c r="M7" s="39" t="n"/>
      <c r="N7" s="39" t="n"/>
      <c r="O7" s="39" t="n"/>
      <c r="P7" s="39" t="n"/>
      <c r="Q7" s="39" t="n"/>
      <c r="R7" s="39" t="n"/>
      <c r="S7" s="39" t="n"/>
      <c r="T7" s="39" t="n"/>
      <c r="U7" s="39" t="n"/>
      <c r="V7" s="39" t="n"/>
      <c r="W7" s="39" t="n"/>
      <c r="X7" s="39" t="n"/>
      <c r="Y7" s="39" t="n"/>
      <c r="Z7" s="39" t="n"/>
      <c r="AA7" s="39" t="n"/>
      <c r="AB7" s="39" t="n"/>
      <c r="AC7" s="39" t="n"/>
    </row>
    <row r="8" ht="14.25" customHeight="1" s="184">
      <c r="A8" s="39" t="n"/>
      <c r="B8" s="39" t="n"/>
      <c r="C8" s="39" t="inlineStr">
        <is>
          <t>IKU 1</t>
        </is>
      </c>
      <c r="D8" s="39" t="n"/>
      <c r="E8" s="39">
        <f>FRA_input!E8</f>
        <v/>
      </c>
      <c r="F8" s="39">
        <f>FRA_input!F8</f>
        <v/>
      </c>
      <c r="G8" s="39">
        <f>FRA_input!G8</f>
        <v/>
      </c>
      <c r="H8" s="39">
        <f>FRA_input!H8</f>
        <v/>
      </c>
      <c r="I8" s="39">
        <f>FRA_input!I8</f>
        <v/>
      </c>
      <c r="J8" s="39">
        <f>FRA_input!J8</f>
        <v/>
      </c>
      <c r="K8" s="39">
        <f>FRA_input!K8</f>
        <v/>
      </c>
      <c r="L8" s="39">
        <f>FRA_input!L8</f>
        <v/>
      </c>
      <c r="M8" s="39">
        <f>FRA_input!M8</f>
        <v/>
      </c>
      <c r="N8" s="39">
        <f>FRA_input!N8</f>
        <v/>
      </c>
      <c r="O8" s="39">
        <f>FRA_input!O8</f>
        <v/>
      </c>
      <c r="P8" s="39">
        <f>FRA_input!P8</f>
        <v/>
      </c>
      <c r="Q8" s="39">
        <f>FRA_input!Q8</f>
        <v/>
      </c>
      <c r="R8" s="39">
        <f>FRA_input!R8</f>
        <v/>
      </c>
      <c r="S8" s="39">
        <f>FRA_input!S8</f>
        <v/>
      </c>
      <c r="T8" s="39">
        <f>FRA_input!T8</f>
        <v/>
      </c>
      <c r="U8" s="39">
        <f>FRA_input!U8</f>
        <v/>
      </c>
      <c r="V8" s="39">
        <f>FRA_input!V8</f>
        <v/>
      </c>
      <c r="W8" s="39">
        <f>FRA_input!W8</f>
        <v/>
      </c>
      <c r="X8" s="39">
        <f>FRA_input!X8</f>
        <v/>
      </c>
      <c r="Y8" s="39">
        <f>FRA_input!Y8</f>
        <v/>
      </c>
      <c r="Z8" s="39">
        <f>FRA_input!Z8</f>
        <v/>
      </c>
      <c r="AA8" s="39">
        <f>FRA_input!AA8</f>
        <v/>
      </c>
      <c r="AB8" s="39">
        <f>FRA_input!AB8</f>
        <v/>
      </c>
      <c r="AC8" s="39">
        <f>FRA_input!AC8</f>
        <v/>
      </c>
    </row>
    <row r="9" ht="14.25" customHeight="1" s="184">
      <c r="A9" s="39" t="n"/>
      <c r="B9" s="39" t="n"/>
      <c r="C9" s="39" t="n"/>
      <c r="D9" s="39" t="inlineStr">
        <is>
          <t>Proksi 1.1</t>
        </is>
      </c>
      <c r="E9" s="39">
        <f>FRA_input!E9</f>
        <v/>
      </c>
      <c r="F9" s="39">
        <f>FRA_input!F9</f>
        <v/>
      </c>
      <c r="G9" s="39">
        <f>FRA_input!G9</f>
        <v/>
      </c>
      <c r="H9" s="39">
        <f>FRA_input!H9</f>
        <v/>
      </c>
      <c r="I9" s="39">
        <f>FRA_input!I9</f>
        <v/>
      </c>
      <c r="J9" s="39">
        <f>FRA_input!J9</f>
        <v/>
      </c>
      <c r="K9" s="39">
        <f>FRA_input!K9</f>
        <v/>
      </c>
      <c r="L9" s="39">
        <f>FRA_input!L9</f>
        <v/>
      </c>
      <c r="M9" s="39">
        <f>FRA_input!M9</f>
        <v/>
      </c>
      <c r="N9" s="39">
        <f>FRA_input!N9</f>
        <v/>
      </c>
      <c r="O9" s="39">
        <f>FRA_input!O9</f>
        <v/>
      </c>
      <c r="P9" s="39">
        <f>FRA_input!P9</f>
        <v/>
      </c>
      <c r="Q9" s="39">
        <f>FRA_input!Q9</f>
        <v/>
      </c>
      <c r="R9" s="39">
        <f>FRA_input!R9</f>
        <v/>
      </c>
      <c r="S9" s="39">
        <f>FRA_input!S9</f>
        <v/>
      </c>
      <c r="T9" s="39">
        <f>FRA_input!T9</f>
        <v/>
      </c>
      <c r="U9" s="39">
        <f>FRA_input!U9</f>
        <v/>
      </c>
      <c r="V9" s="39">
        <f>FRA_input!V9</f>
        <v/>
      </c>
      <c r="W9" s="39">
        <f>FRA_input!W9</f>
        <v/>
      </c>
      <c r="X9" s="39">
        <f>FRA_input!X9</f>
        <v/>
      </c>
      <c r="Y9" s="39">
        <f>FRA_input!Y9</f>
        <v/>
      </c>
      <c r="Z9" s="39">
        <f>FRA_input!Z9</f>
        <v/>
      </c>
      <c r="AA9" s="39">
        <f>FRA_input!AA9</f>
        <v/>
      </c>
      <c r="AB9" s="39">
        <f>FRA_input!AB9</f>
        <v/>
      </c>
      <c r="AC9" s="39">
        <f>FRA_input!AC9</f>
        <v/>
      </c>
    </row>
    <row r="10" ht="14.25" customHeight="1" s="184">
      <c r="A10" s="39" t="n"/>
      <c r="B10" s="39" t="n"/>
      <c r="C10" s="39" t="n"/>
      <c r="D10" s="39" t="inlineStr">
        <is>
          <t>Proksi 1.2</t>
        </is>
      </c>
      <c r="E10" s="39">
        <f>FRA_input!E10</f>
        <v/>
      </c>
      <c r="F10" s="39">
        <f>FRA_input!F10</f>
        <v/>
      </c>
      <c r="G10" s="39">
        <f>FRA_input!G10</f>
        <v/>
      </c>
      <c r="H10" s="39">
        <f>FRA_input!H10</f>
        <v/>
      </c>
      <c r="I10" s="39">
        <f>FRA_input!I10</f>
        <v/>
      </c>
      <c r="J10" s="39">
        <f>FRA_input!J10</f>
        <v/>
      </c>
      <c r="K10" s="39">
        <f>FRA_input!K10</f>
        <v/>
      </c>
      <c r="L10" s="39">
        <f>FRA_input!L10</f>
        <v/>
      </c>
      <c r="M10" s="39">
        <f>FRA_input!M10</f>
        <v/>
      </c>
      <c r="N10" s="39">
        <f>FRA_input!N10</f>
        <v/>
      </c>
      <c r="O10" s="39">
        <f>FRA_input!O10</f>
        <v/>
      </c>
      <c r="P10" s="39">
        <f>FRA_input!P10</f>
        <v/>
      </c>
      <c r="Q10" s="39">
        <f>FRA_input!Q10</f>
        <v/>
      </c>
      <c r="R10" s="39">
        <f>FRA_input!R10</f>
        <v/>
      </c>
      <c r="S10" s="39">
        <f>FRA_input!S10</f>
        <v/>
      </c>
      <c r="T10" s="39">
        <f>FRA_input!T10</f>
        <v/>
      </c>
      <c r="U10" s="39">
        <f>FRA_input!U10</f>
        <v/>
      </c>
      <c r="V10" s="39">
        <f>FRA_input!V10</f>
        <v/>
      </c>
      <c r="W10" s="39">
        <f>FRA_input!W10</f>
        <v/>
      </c>
      <c r="X10" s="39">
        <f>FRA_input!X10</f>
        <v/>
      </c>
      <c r="Y10" s="39">
        <f>FRA_input!Y10</f>
        <v/>
      </c>
      <c r="Z10" s="39">
        <f>FRA_input!Z10</f>
        <v/>
      </c>
      <c r="AA10" s="39">
        <f>FRA_input!AA10</f>
        <v/>
      </c>
      <c r="AB10" s="39">
        <f>FRA_input!AB10</f>
        <v/>
      </c>
      <c r="AC10" s="39">
        <f>FRA_input!AC10</f>
        <v/>
      </c>
    </row>
    <row r="11" ht="14.25" customHeight="1" s="184">
      <c r="A11" s="39" t="n"/>
      <c r="B11" s="39" t="n"/>
      <c r="C11" s="39" t="n"/>
      <c r="D11" s="39" t="inlineStr">
        <is>
          <t>Proksi 1.3</t>
        </is>
      </c>
      <c r="E11" s="39">
        <f>FRA_input!E11</f>
        <v/>
      </c>
      <c r="F11" s="39">
        <f>FRA_input!F11</f>
        <v/>
      </c>
      <c r="G11" s="39">
        <f>FRA_input!G11</f>
        <v/>
      </c>
      <c r="H11" s="39">
        <f>FRA_input!H11</f>
        <v/>
      </c>
      <c r="I11" s="39">
        <f>FRA_input!I11</f>
        <v/>
      </c>
      <c r="J11" s="39">
        <f>FRA_input!J11</f>
        <v/>
      </c>
      <c r="K11" s="39">
        <f>FRA_input!K11</f>
        <v/>
      </c>
      <c r="L11" s="39">
        <f>FRA_input!L11</f>
        <v/>
      </c>
      <c r="M11" s="39">
        <f>FRA_input!M11</f>
        <v/>
      </c>
      <c r="N11" s="39">
        <f>FRA_input!N11</f>
        <v/>
      </c>
      <c r="O11" s="39">
        <f>FRA_input!O11</f>
        <v/>
      </c>
      <c r="P11" s="39">
        <f>FRA_input!P11</f>
        <v/>
      </c>
      <c r="Q11" s="39">
        <f>FRA_input!Q11</f>
        <v/>
      </c>
      <c r="R11" s="39">
        <f>FRA_input!R11</f>
        <v/>
      </c>
      <c r="S11" s="39">
        <f>FRA_input!S11</f>
        <v/>
      </c>
      <c r="T11" s="39">
        <f>FRA_input!T11</f>
        <v/>
      </c>
      <c r="U11" s="39">
        <f>FRA_input!U11</f>
        <v/>
      </c>
      <c r="V11" s="39">
        <f>FRA_input!V11</f>
        <v/>
      </c>
      <c r="W11" s="39">
        <f>FRA_input!W11</f>
        <v/>
      </c>
      <c r="X11" s="39">
        <f>FRA_input!X11</f>
        <v/>
      </c>
      <c r="Y11" s="39">
        <f>FRA_input!Y11</f>
        <v/>
      </c>
      <c r="Z11" s="39">
        <f>FRA_input!Z11</f>
        <v/>
      </c>
      <c r="AA11" s="39">
        <f>FRA_input!AA11</f>
        <v/>
      </c>
      <c r="AB11" s="39">
        <f>FRA_input!AB11</f>
        <v/>
      </c>
      <c r="AC11" s="39">
        <f>FRA_input!AC11</f>
        <v/>
      </c>
    </row>
    <row r="12" ht="14.25" customHeight="1" s="184">
      <c r="A12" s="39" t="n"/>
      <c r="B12" s="39" t="n"/>
      <c r="C12" s="39" t="inlineStr">
        <is>
          <t>IKU 2</t>
        </is>
      </c>
      <c r="D12" s="39" t="n"/>
      <c r="E12" s="39">
        <f>FRA_input!E12</f>
        <v/>
      </c>
      <c r="F12" s="39">
        <f>FRA_input!F12</f>
        <v/>
      </c>
      <c r="G12" s="39">
        <f>FRA_input!G12</f>
        <v/>
      </c>
      <c r="H12" s="39">
        <f>FRA_input!H12</f>
        <v/>
      </c>
      <c r="I12" s="39">
        <f>FRA_input!I12</f>
        <v/>
      </c>
      <c r="J12" s="39">
        <f>FRA_input!J12</f>
        <v/>
      </c>
      <c r="K12" s="39">
        <f>FRA_input!K12</f>
        <v/>
      </c>
      <c r="L12" s="39">
        <f>FRA_input!L12</f>
        <v/>
      </c>
      <c r="M12" s="39">
        <f>FRA_input!M12</f>
        <v/>
      </c>
      <c r="N12" s="39">
        <f>FRA_input!N12</f>
        <v/>
      </c>
      <c r="O12" s="39">
        <f>FRA_input!O12</f>
        <v/>
      </c>
      <c r="P12" s="39">
        <f>FRA_input!P12</f>
        <v/>
      </c>
      <c r="Q12" s="39">
        <f>FRA_input!Q12</f>
        <v/>
      </c>
      <c r="R12" s="39">
        <f>FRA_input!R12</f>
        <v/>
      </c>
      <c r="S12" s="39">
        <f>FRA_input!S12</f>
        <v/>
      </c>
      <c r="T12" s="39">
        <f>FRA_input!T12</f>
        <v/>
      </c>
      <c r="U12" s="39">
        <f>FRA_input!U12</f>
        <v/>
      </c>
      <c r="V12" s="39">
        <f>FRA_input!V12</f>
        <v/>
      </c>
      <c r="W12" s="39">
        <f>FRA_input!W12</f>
        <v/>
      </c>
      <c r="X12" s="39">
        <f>FRA_input!X12</f>
        <v/>
      </c>
      <c r="Y12" s="39">
        <f>FRA_input!Y12</f>
        <v/>
      </c>
      <c r="Z12" s="39">
        <f>FRA_input!Z12</f>
        <v/>
      </c>
      <c r="AA12" s="39">
        <f>FRA_input!AA12</f>
        <v/>
      </c>
      <c r="AB12" s="39">
        <f>FRA_input!AB12</f>
        <v/>
      </c>
      <c r="AC12" s="39">
        <f>FRA_input!AC12</f>
        <v/>
      </c>
    </row>
    <row r="13" ht="14.25" customHeight="1" s="184">
      <c r="A13" s="39" t="n"/>
      <c r="B13" s="39" t="n"/>
      <c r="C13" s="39" t="n"/>
      <c r="D13" s="39" t="inlineStr">
        <is>
          <t>Proksi 2.1</t>
        </is>
      </c>
      <c r="E13" s="39">
        <f>FRA_input!E13</f>
        <v/>
      </c>
      <c r="F13" s="39">
        <f>FRA_input!F13</f>
        <v/>
      </c>
      <c r="G13" s="39">
        <f>FRA_input!G13</f>
        <v/>
      </c>
      <c r="H13" s="39">
        <f>FRA_input!H13</f>
        <v/>
      </c>
      <c r="I13" s="39">
        <f>FRA_input!I13</f>
        <v/>
      </c>
      <c r="J13" s="39">
        <f>FRA_input!J13</f>
        <v/>
      </c>
      <c r="K13" s="39">
        <f>FRA_input!K13</f>
        <v/>
      </c>
      <c r="L13" s="39">
        <f>FRA_input!L13</f>
        <v/>
      </c>
      <c r="M13" s="39">
        <f>FRA_input!M13</f>
        <v/>
      </c>
      <c r="N13" s="39">
        <f>FRA_input!N13</f>
        <v/>
      </c>
      <c r="O13" s="39">
        <f>FRA_input!O13</f>
        <v/>
      </c>
      <c r="P13" s="39">
        <f>FRA_input!P13</f>
        <v/>
      </c>
      <c r="Q13" s="39">
        <f>FRA_input!Q13</f>
        <v/>
      </c>
      <c r="R13" s="39">
        <f>FRA_input!R13</f>
        <v/>
      </c>
      <c r="S13" s="39">
        <f>FRA_input!S13</f>
        <v/>
      </c>
      <c r="T13" s="39">
        <f>FRA_input!T13</f>
        <v/>
      </c>
      <c r="U13" s="39">
        <f>FRA_input!U13</f>
        <v/>
      </c>
      <c r="V13" s="39">
        <f>FRA_input!V13</f>
        <v/>
      </c>
      <c r="W13" s="39">
        <f>FRA_input!W13</f>
        <v/>
      </c>
      <c r="X13" s="39">
        <f>FRA_input!X13</f>
        <v/>
      </c>
      <c r="Y13" s="39">
        <f>FRA_input!Y13</f>
        <v/>
      </c>
      <c r="Z13" s="39">
        <f>FRA_input!Z13</f>
        <v/>
      </c>
      <c r="AA13" s="39">
        <f>FRA_input!AA13</f>
        <v/>
      </c>
      <c r="AB13" s="39">
        <f>FRA_input!AB13</f>
        <v/>
      </c>
      <c r="AC13" s="39">
        <f>FRA_input!AC13</f>
        <v/>
      </c>
    </row>
    <row r="14" ht="14.25" customHeight="1" s="184">
      <c r="A14" s="39" t="n"/>
      <c r="B14" s="39" t="n"/>
      <c r="C14" s="39" t="n"/>
      <c r="D14" s="39" t="inlineStr">
        <is>
          <t>Proksi 2.2</t>
        </is>
      </c>
      <c r="E14" s="39">
        <f>FRA_input!E14</f>
        <v/>
      </c>
      <c r="F14" s="39">
        <f>FRA_input!F14</f>
        <v/>
      </c>
      <c r="G14" s="39">
        <f>FRA_input!G14</f>
        <v/>
      </c>
      <c r="H14" s="39">
        <f>FRA_input!H14</f>
        <v/>
      </c>
      <c r="I14" s="39">
        <f>FRA_input!I14</f>
        <v/>
      </c>
      <c r="J14" s="39">
        <f>FRA_input!J14</f>
        <v/>
      </c>
      <c r="K14" s="39">
        <f>FRA_input!K14</f>
        <v/>
      </c>
      <c r="L14" s="39">
        <f>FRA_input!L14</f>
        <v/>
      </c>
      <c r="M14" s="39">
        <f>FRA_input!M14</f>
        <v/>
      </c>
      <c r="N14" s="39">
        <f>FRA_input!N14</f>
        <v/>
      </c>
      <c r="O14" s="39">
        <f>FRA_input!O14</f>
        <v/>
      </c>
      <c r="P14" s="39">
        <f>FRA_input!P14</f>
        <v/>
      </c>
      <c r="Q14" s="39">
        <f>FRA_input!Q14</f>
        <v/>
      </c>
      <c r="R14" s="39">
        <f>FRA_input!R14</f>
        <v/>
      </c>
      <c r="S14" s="39">
        <f>FRA_input!S14</f>
        <v/>
      </c>
      <c r="T14" s="39">
        <f>FRA_input!T14</f>
        <v/>
      </c>
      <c r="U14" s="39">
        <f>FRA_input!U14</f>
        <v/>
      </c>
      <c r="V14" s="39">
        <f>FRA_input!V14</f>
        <v/>
      </c>
      <c r="W14" s="39">
        <f>FRA_input!W14</f>
        <v/>
      </c>
      <c r="X14" s="39">
        <f>FRA_input!X14</f>
        <v/>
      </c>
      <c r="Y14" s="39">
        <f>FRA_input!Y14</f>
        <v/>
      </c>
      <c r="Z14" s="39">
        <f>FRA_input!Z14</f>
        <v/>
      </c>
      <c r="AA14" s="39">
        <f>FRA_input!AA14</f>
        <v/>
      </c>
      <c r="AB14" s="39">
        <f>FRA_input!AB14</f>
        <v/>
      </c>
      <c r="AC14" s="39">
        <f>FRA_input!AC14</f>
        <v/>
      </c>
    </row>
    <row r="15" ht="14.25" customHeight="1" s="184">
      <c r="A15" s="39" t="n"/>
      <c r="B15" s="39" t="n"/>
      <c r="C15" s="39" t="n"/>
      <c r="D15" s="39" t="inlineStr">
        <is>
          <t>Proksi 2.3</t>
        </is>
      </c>
      <c r="E15" s="39">
        <f>FRA_input!E15</f>
        <v/>
      </c>
      <c r="F15" s="39">
        <f>FRA_input!F15</f>
        <v/>
      </c>
      <c r="G15" s="39">
        <f>FRA_input!G15</f>
        <v/>
      </c>
      <c r="H15" s="39">
        <f>FRA_input!H15</f>
        <v/>
      </c>
      <c r="I15" s="39">
        <f>FRA_input!I15</f>
        <v/>
      </c>
      <c r="J15" s="39">
        <f>FRA_input!J15</f>
        <v/>
      </c>
      <c r="K15" s="39">
        <f>FRA_input!K15</f>
        <v/>
      </c>
      <c r="L15" s="39">
        <f>FRA_input!L15</f>
        <v/>
      </c>
      <c r="M15" s="39">
        <f>FRA_input!M15</f>
        <v/>
      </c>
      <c r="N15" s="39">
        <f>FRA_input!N15</f>
        <v/>
      </c>
      <c r="O15" s="39">
        <f>FRA_input!O15</f>
        <v/>
      </c>
      <c r="P15" s="39">
        <f>FRA_input!P15</f>
        <v/>
      </c>
      <c r="Q15" s="39">
        <f>FRA_input!Q15</f>
        <v/>
      </c>
      <c r="R15" s="39">
        <f>FRA_input!R15</f>
        <v/>
      </c>
      <c r="S15" s="39">
        <f>FRA_input!S15</f>
        <v/>
      </c>
      <c r="T15" s="39">
        <f>FRA_input!T15</f>
        <v/>
      </c>
      <c r="U15" s="39">
        <f>FRA_input!U15</f>
        <v/>
      </c>
      <c r="V15" s="39">
        <f>FRA_input!V15</f>
        <v/>
      </c>
      <c r="W15" s="39">
        <f>FRA_input!W15</f>
        <v/>
      </c>
      <c r="X15" s="39">
        <f>FRA_input!X15</f>
        <v/>
      </c>
      <c r="Y15" s="39">
        <f>FRA_input!Y15</f>
        <v/>
      </c>
      <c r="Z15" s="39">
        <f>FRA_input!Z15</f>
        <v/>
      </c>
      <c r="AA15" s="39">
        <f>FRA_input!AA15</f>
        <v/>
      </c>
      <c r="AB15" s="39">
        <f>FRA_input!AB15</f>
        <v/>
      </c>
      <c r="AC15" s="39">
        <f>FRA_input!AC15</f>
        <v/>
      </c>
    </row>
    <row r="16" ht="14.25" customHeight="1" s="184">
      <c r="A16" s="39" t="inlineStr">
        <is>
          <t>T2</t>
        </is>
      </c>
      <c r="B16" s="39" t="n"/>
      <c r="C16" s="39" t="n"/>
      <c r="D16" s="39" t="n"/>
      <c r="E16" s="39">
        <f>FRA_input!E16</f>
        <v/>
      </c>
      <c r="F16" s="39">
        <f>FRA_input!F16</f>
        <v/>
      </c>
      <c r="G16" s="39">
        <f>FRA_input!G16</f>
        <v/>
      </c>
      <c r="H16" s="39">
        <f>FRA_input!H16</f>
        <v/>
      </c>
      <c r="I16" s="39">
        <f>FRA_input!I16</f>
        <v/>
      </c>
      <c r="J16" s="39">
        <f>FRA_input!J16</f>
        <v/>
      </c>
      <c r="K16" s="39" t="n"/>
      <c r="L16" s="39" t="n"/>
      <c r="M16" s="39" t="n"/>
      <c r="N16" s="39" t="n"/>
      <c r="O16" s="39" t="n"/>
      <c r="P16" s="39" t="n"/>
      <c r="Q16" s="39" t="n"/>
      <c r="R16" s="39" t="n"/>
      <c r="S16" s="39" t="n"/>
      <c r="T16" s="39" t="n"/>
      <c r="U16" s="39" t="n"/>
      <c r="V16" s="39" t="n"/>
      <c r="W16" s="39" t="n"/>
      <c r="X16" s="39" t="n"/>
      <c r="Y16" s="39" t="n"/>
      <c r="Z16" s="39" t="n"/>
      <c r="AA16" s="39" t="n"/>
      <c r="AB16" s="39" t="n"/>
      <c r="AC16" s="39" t="n"/>
    </row>
    <row r="17" ht="14.25" customHeight="1" s="184">
      <c r="A17" s="39" t="n"/>
      <c r="B17" s="39" t="inlineStr">
        <is>
          <t>S2</t>
        </is>
      </c>
      <c r="C17" s="39" t="n"/>
      <c r="D17" s="39" t="n"/>
      <c r="E17" s="39">
        <f>FRA_input!E17</f>
        <v/>
      </c>
      <c r="F17" s="39">
        <f>FRA_input!F17</f>
        <v/>
      </c>
      <c r="G17" s="39">
        <f>FRA_input!G17</f>
        <v/>
      </c>
      <c r="H17" s="39">
        <f>FRA_input!H17</f>
        <v/>
      </c>
      <c r="I17" s="39">
        <f>FRA_input!I17</f>
        <v/>
      </c>
      <c r="J17" s="39">
        <f>FRA_input!J17</f>
        <v/>
      </c>
      <c r="K17" s="39" t="n"/>
      <c r="L17" s="39" t="n"/>
      <c r="M17" s="39" t="n"/>
      <c r="N17" s="39" t="n"/>
      <c r="O17" s="39" t="n"/>
      <c r="P17" s="39" t="n"/>
      <c r="Q17" s="39" t="n"/>
      <c r="R17" s="39" t="n"/>
      <c r="S17" s="39" t="n"/>
      <c r="T17" s="39" t="n"/>
      <c r="U17" s="39" t="n"/>
      <c r="V17" s="39" t="n"/>
      <c r="W17" s="39" t="n"/>
      <c r="X17" s="39" t="n"/>
      <c r="Y17" s="39" t="n"/>
      <c r="Z17" s="39" t="n"/>
      <c r="AA17" s="39" t="n"/>
      <c r="AB17" s="39" t="n"/>
      <c r="AC17" s="39" t="n"/>
    </row>
    <row r="18" ht="14.25" customHeight="1" s="184">
      <c r="A18" s="39" t="n"/>
      <c r="B18" s="39" t="n"/>
      <c r="C18" s="39" t="inlineStr">
        <is>
          <t>IKU 3</t>
        </is>
      </c>
      <c r="D18" s="39" t="n"/>
      <c r="E18" s="39">
        <f>FRA_input!E18</f>
        <v/>
      </c>
      <c r="F18" s="39">
        <f>FRA_input!F18</f>
        <v/>
      </c>
      <c r="G18" s="39">
        <f>FRA_input!G18</f>
        <v/>
      </c>
      <c r="H18" s="39">
        <f>FRA_input!H18</f>
        <v/>
      </c>
      <c r="I18" s="39">
        <f>FRA_input!I18</f>
        <v/>
      </c>
      <c r="J18" s="39">
        <f>FRA_input!J18</f>
        <v/>
      </c>
      <c r="K18" s="39">
        <f>FRA_input!K18</f>
        <v/>
      </c>
      <c r="L18" s="39">
        <f>FRA_input!L18</f>
        <v/>
      </c>
      <c r="M18" s="39">
        <f>FRA_input!M18</f>
        <v/>
      </c>
      <c r="N18" s="39">
        <f>FRA_input!N18</f>
        <v/>
      </c>
      <c r="O18" s="39">
        <f>FRA_input!O18</f>
        <v/>
      </c>
      <c r="P18" s="39">
        <f>FRA_input!P18</f>
        <v/>
      </c>
      <c r="Q18" s="39">
        <f>FRA_input!Q18</f>
        <v/>
      </c>
      <c r="R18" s="39">
        <f>FRA_input!R18</f>
        <v/>
      </c>
      <c r="S18" s="39">
        <f>FRA_input!S18</f>
        <v/>
      </c>
      <c r="T18" s="39">
        <f>FRA_input!T18</f>
        <v/>
      </c>
      <c r="U18" s="39">
        <f>FRA_input!U18</f>
        <v/>
      </c>
      <c r="V18" s="39">
        <f>FRA_input!V18</f>
        <v/>
      </c>
      <c r="W18" s="39">
        <f>FRA_input!W18</f>
        <v/>
      </c>
      <c r="X18" s="39">
        <f>FRA_input!X18</f>
        <v/>
      </c>
      <c r="Y18" s="39">
        <f>FRA_input!Y18</f>
        <v/>
      </c>
      <c r="Z18" s="39">
        <f>FRA_input!Z18</f>
        <v/>
      </c>
      <c r="AA18" s="39">
        <f>FRA_input!AA18</f>
        <v/>
      </c>
      <c r="AB18" s="39">
        <f>FRA_input!AB18</f>
        <v/>
      </c>
      <c r="AC18" s="39">
        <f>FRA_input!AC18</f>
        <v/>
      </c>
    </row>
    <row r="19" ht="14.25" customHeight="1" s="184">
      <c r="A19" s="39" t="n"/>
      <c r="B19" s="39" t="n"/>
      <c r="C19" s="39" t="n"/>
      <c r="D19" s="39" t="inlineStr">
        <is>
          <t>Proksi 3.1</t>
        </is>
      </c>
      <c r="E19" s="39">
        <f>FRA_input!E19</f>
        <v/>
      </c>
      <c r="F19" s="39">
        <f>FRA_input!F19</f>
        <v/>
      </c>
      <c r="G19" s="39">
        <f>FRA_input!G19</f>
        <v/>
      </c>
      <c r="H19" s="39">
        <f>FRA_input!H19</f>
        <v/>
      </c>
      <c r="I19" s="39">
        <f>FRA_input!I19</f>
        <v/>
      </c>
      <c r="J19" s="39">
        <f>FRA_input!J19</f>
        <v/>
      </c>
      <c r="K19" s="39">
        <f>FRA_input!K19</f>
        <v/>
      </c>
      <c r="L19" s="39">
        <f>FRA_input!L19</f>
        <v/>
      </c>
      <c r="M19" s="39">
        <f>FRA_input!M19</f>
        <v/>
      </c>
      <c r="N19" s="39">
        <f>FRA_input!N19</f>
        <v/>
      </c>
      <c r="O19" s="39">
        <f>FRA_input!O19</f>
        <v/>
      </c>
      <c r="P19" s="39">
        <f>FRA_input!P19</f>
        <v/>
      </c>
      <c r="Q19" s="39">
        <f>FRA_input!Q19</f>
        <v/>
      </c>
      <c r="R19" s="39">
        <f>FRA_input!R19</f>
        <v/>
      </c>
      <c r="S19" s="39">
        <f>FRA_input!S19</f>
        <v/>
      </c>
      <c r="T19" s="39">
        <f>FRA_input!T19</f>
        <v/>
      </c>
      <c r="U19" s="39">
        <f>FRA_input!U19</f>
        <v/>
      </c>
      <c r="V19" s="39">
        <f>FRA_input!V19</f>
        <v/>
      </c>
      <c r="W19" s="39">
        <f>FRA_input!W19</f>
        <v/>
      </c>
      <c r="X19" s="39">
        <f>FRA_input!X19</f>
        <v/>
      </c>
      <c r="Y19" s="39">
        <f>FRA_input!Y19</f>
        <v/>
      </c>
      <c r="Z19" s="39">
        <f>FRA_input!Z19</f>
        <v/>
      </c>
      <c r="AA19" s="39">
        <f>FRA_input!AA19</f>
        <v/>
      </c>
      <c r="AB19" s="39">
        <f>FRA_input!AB19</f>
        <v/>
      </c>
      <c r="AC19" s="39">
        <f>FRA_input!AC19</f>
        <v/>
      </c>
    </row>
    <row r="20" ht="14.25" customHeight="1" s="184">
      <c r="A20" s="39" t="n"/>
      <c r="B20" s="39" t="n"/>
      <c r="C20" s="39" t="n"/>
      <c r="D20" s="39" t="inlineStr">
        <is>
          <t>Proksi 3.2</t>
        </is>
      </c>
      <c r="E20" s="39">
        <f>FRA_input!E20</f>
        <v/>
      </c>
      <c r="F20" s="39">
        <f>FRA_input!F20</f>
        <v/>
      </c>
      <c r="G20" s="39">
        <f>FRA_input!G20</f>
        <v/>
      </c>
      <c r="H20" s="39">
        <f>FRA_input!H20</f>
        <v/>
      </c>
      <c r="I20" s="39">
        <f>FRA_input!I20</f>
        <v/>
      </c>
      <c r="J20" s="39">
        <f>FRA_input!J20</f>
        <v/>
      </c>
      <c r="K20" s="39">
        <f>FRA_input!K20</f>
        <v/>
      </c>
      <c r="L20" s="39">
        <f>FRA_input!L20</f>
        <v/>
      </c>
      <c r="M20" s="39">
        <f>FRA_input!M20</f>
        <v/>
      </c>
      <c r="N20" s="39">
        <f>FRA_input!N20</f>
        <v/>
      </c>
      <c r="O20" s="39">
        <f>FRA_input!O20</f>
        <v/>
      </c>
      <c r="P20" s="39">
        <f>FRA_input!P20</f>
        <v/>
      </c>
      <c r="Q20" s="39">
        <f>FRA_input!Q20</f>
        <v/>
      </c>
      <c r="R20" s="39">
        <f>FRA_input!R20</f>
        <v/>
      </c>
      <c r="S20" s="39">
        <f>FRA_input!S20</f>
        <v/>
      </c>
      <c r="T20" s="39">
        <f>FRA_input!T20</f>
        <v/>
      </c>
      <c r="U20" s="39">
        <f>FRA_input!U20</f>
        <v/>
      </c>
      <c r="V20" s="39">
        <f>FRA_input!V20</f>
        <v/>
      </c>
      <c r="W20" s="39">
        <f>FRA_input!W20</f>
        <v/>
      </c>
      <c r="X20" s="39">
        <f>FRA_input!X20</f>
        <v/>
      </c>
      <c r="Y20" s="39">
        <f>FRA_input!Y20</f>
        <v/>
      </c>
      <c r="Z20" s="39">
        <f>FRA_input!Z20</f>
        <v/>
      </c>
      <c r="AA20" s="39">
        <f>FRA_input!AA20</f>
        <v/>
      </c>
      <c r="AB20" s="39">
        <f>FRA_input!AB20</f>
        <v/>
      </c>
      <c r="AC20" s="39">
        <f>FRA_input!AC20</f>
        <v/>
      </c>
    </row>
    <row r="21" ht="14.25" customHeight="1" s="184">
      <c r="A21" s="39" t="n"/>
      <c r="B21" s="39" t="n"/>
      <c r="C21" s="39" t="n"/>
      <c r="D21" s="39" t="inlineStr">
        <is>
          <t>Proksi 4.3</t>
        </is>
      </c>
      <c r="E21" s="39">
        <f>FRA_input!E21</f>
        <v/>
      </c>
      <c r="F21" s="39">
        <f>FRA_input!F21</f>
        <v/>
      </c>
      <c r="G21" s="39">
        <f>FRA_input!G21</f>
        <v/>
      </c>
      <c r="H21" s="39">
        <f>FRA_input!H21</f>
        <v/>
      </c>
      <c r="I21" s="39">
        <f>FRA_input!I21</f>
        <v/>
      </c>
      <c r="J21" s="39">
        <f>FRA_input!J21</f>
        <v/>
      </c>
      <c r="K21" s="39">
        <f>FRA_input!K21</f>
        <v/>
      </c>
      <c r="L21" s="39">
        <f>FRA_input!L21</f>
        <v/>
      </c>
      <c r="M21" s="39">
        <f>FRA_input!M21</f>
        <v/>
      </c>
      <c r="N21" s="39">
        <f>FRA_input!N21</f>
        <v/>
      </c>
      <c r="O21" s="39">
        <f>FRA_input!O21</f>
        <v/>
      </c>
      <c r="P21" s="39">
        <f>FRA_input!P21</f>
        <v/>
      </c>
      <c r="Q21" s="39">
        <f>FRA_input!Q21</f>
        <v/>
      </c>
      <c r="R21" s="39">
        <f>FRA_input!R21</f>
        <v/>
      </c>
      <c r="S21" s="39">
        <f>FRA_input!S21</f>
        <v/>
      </c>
      <c r="T21" s="39">
        <f>FRA_input!T21</f>
        <v/>
      </c>
      <c r="U21" s="39">
        <f>FRA_input!U21</f>
        <v/>
      </c>
      <c r="V21" s="39">
        <f>FRA_input!V21</f>
        <v/>
      </c>
      <c r="W21" s="39">
        <f>FRA_input!W21</f>
        <v/>
      </c>
      <c r="X21" s="39">
        <f>FRA_input!X21</f>
        <v/>
      </c>
      <c r="Y21" s="39">
        <f>FRA_input!Y21</f>
        <v/>
      </c>
      <c r="Z21" s="39">
        <f>FRA_input!Z21</f>
        <v/>
      </c>
      <c r="AA21" s="39">
        <f>FRA_input!AA21</f>
        <v/>
      </c>
      <c r="AB21" s="39">
        <f>FRA_input!AB21</f>
        <v/>
      </c>
      <c r="AC21" s="39">
        <f>FRA_input!AC21</f>
        <v/>
      </c>
    </row>
    <row r="22" ht="14.25" customHeight="1" s="184">
      <c r="A22" s="39" t="n"/>
      <c r="B22" s="39" t="n"/>
      <c r="C22" s="39" t="inlineStr">
        <is>
          <t>IKU 4</t>
        </is>
      </c>
      <c r="D22" s="39" t="n"/>
      <c r="E22" s="39">
        <f>FRA_input!E22</f>
        <v/>
      </c>
      <c r="F22" s="39">
        <f>FRA_input!F22</f>
        <v/>
      </c>
      <c r="G22" s="39">
        <f>FRA_input!G22</f>
        <v/>
      </c>
      <c r="H22" s="39">
        <f>FRA_input!H22</f>
        <v/>
      </c>
      <c r="I22" s="39">
        <f>FRA_input!I22</f>
        <v/>
      </c>
      <c r="J22" s="39">
        <f>FRA_input!J22</f>
        <v/>
      </c>
      <c r="K22" s="39">
        <f>FRA_input!K22</f>
        <v/>
      </c>
      <c r="L22" s="39">
        <f>FRA_input!L22</f>
        <v/>
      </c>
      <c r="M22" s="39">
        <f>FRA_input!M22</f>
        <v/>
      </c>
      <c r="N22" s="39">
        <f>FRA_input!N22</f>
        <v/>
      </c>
      <c r="O22" s="39">
        <f>FRA_input!O22</f>
        <v/>
      </c>
      <c r="P22" s="39">
        <f>FRA_input!P22</f>
        <v/>
      </c>
      <c r="Q22" s="39">
        <f>FRA_input!Q22</f>
        <v/>
      </c>
      <c r="R22" s="39">
        <f>FRA_input!R22</f>
        <v/>
      </c>
      <c r="S22" s="39">
        <f>FRA_input!S22</f>
        <v/>
      </c>
      <c r="T22" s="39">
        <f>FRA_input!T22</f>
        <v/>
      </c>
      <c r="U22" s="39">
        <f>FRA_input!U22</f>
        <v/>
      </c>
      <c r="V22" s="39">
        <f>FRA_input!V22</f>
        <v/>
      </c>
      <c r="W22" s="39">
        <f>FRA_input!W22</f>
        <v/>
      </c>
      <c r="X22" s="39">
        <f>FRA_input!X22</f>
        <v/>
      </c>
      <c r="Y22" s="39">
        <f>FRA_input!Y22</f>
        <v/>
      </c>
      <c r="Z22" s="39">
        <f>FRA_input!Z22</f>
        <v/>
      </c>
      <c r="AA22" s="39">
        <f>FRA_input!AA22</f>
        <v/>
      </c>
      <c r="AB22" s="39">
        <f>FRA_input!AB22</f>
        <v/>
      </c>
      <c r="AC22" s="39">
        <f>FRA_input!AC22</f>
        <v/>
      </c>
    </row>
    <row r="23" ht="14.25" customHeight="1" s="184">
      <c r="A23" s="39" t="n"/>
      <c r="B23" s="39" t="n"/>
      <c r="C23" s="39" t="n"/>
      <c r="D23" s="39" t="inlineStr">
        <is>
          <t>Proksi 5.1</t>
        </is>
      </c>
      <c r="E23" s="39">
        <f>FRA_input!E23</f>
        <v/>
      </c>
      <c r="F23" s="39">
        <f>FRA_input!F23</f>
        <v/>
      </c>
      <c r="G23" s="39">
        <f>FRA_input!G23</f>
        <v/>
      </c>
      <c r="H23" s="39">
        <f>FRA_input!H23</f>
        <v/>
      </c>
      <c r="I23" s="39">
        <f>FRA_input!I23</f>
        <v/>
      </c>
      <c r="J23" s="39">
        <f>FRA_input!J23</f>
        <v/>
      </c>
      <c r="K23" s="39">
        <f>FRA_input!K23</f>
        <v/>
      </c>
      <c r="L23" s="39">
        <f>FRA_input!L23</f>
        <v/>
      </c>
      <c r="M23" s="39">
        <f>FRA_input!M23</f>
        <v/>
      </c>
      <c r="N23" s="39">
        <f>FRA_input!N23</f>
        <v/>
      </c>
      <c r="O23" s="39">
        <f>FRA_input!O23</f>
        <v/>
      </c>
      <c r="P23" s="39">
        <f>FRA_input!P23</f>
        <v/>
      </c>
      <c r="Q23" s="39">
        <f>FRA_input!Q23</f>
        <v/>
      </c>
      <c r="R23" s="39">
        <f>FRA_input!R23</f>
        <v/>
      </c>
      <c r="S23" s="39">
        <f>FRA_input!S23</f>
        <v/>
      </c>
      <c r="T23" s="39">
        <f>FRA_input!T23</f>
        <v/>
      </c>
      <c r="U23" s="39">
        <f>FRA_input!U23</f>
        <v/>
      </c>
      <c r="V23" s="39">
        <f>FRA_input!V23</f>
        <v/>
      </c>
      <c r="W23" s="39">
        <f>FRA_input!W23</f>
        <v/>
      </c>
      <c r="X23" s="39">
        <f>FRA_input!X23</f>
        <v/>
      </c>
      <c r="Y23" s="39">
        <f>FRA_input!Y23</f>
        <v/>
      </c>
      <c r="Z23" s="39">
        <f>FRA_input!Z23</f>
        <v/>
      </c>
      <c r="AA23" s="39">
        <f>FRA_input!AA23</f>
        <v/>
      </c>
      <c r="AB23" s="39">
        <f>FRA_input!AB23</f>
        <v/>
      </c>
      <c r="AC23" s="39">
        <f>FRA_input!AC23</f>
        <v/>
      </c>
    </row>
    <row r="24" ht="14.25" customHeight="1" s="184">
      <c r="A24" s="39" t="n"/>
      <c r="B24" s="39" t="n"/>
      <c r="C24" s="39" t="n"/>
      <c r="D24" s="39" t="inlineStr">
        <is>
          <t>Proksi 5.2</t>
        </is>
      </c>
      <c r="E24" s="39">
        <f>FRA_input!E24</f>
        <v/>
      </c>
      <c r="F24" s="39">
        <f>FRA_input!F24</f>
        <v/>
      </c>
      <c r="G24" s="39">
        <f>FRA_input!G24</f>
        <v/>
      </c>
      <c r="H24" s="39">
        <f>FRA_input!H24</f>
        <v/>
      </c>
      <c r="I24" s="39">
        <f>FRA_input!I24</f>
        <v/>
      </c>
      <c r="J24" s="39">
        <f>FRA_input!J24</f>
        <v/>
      </c>
      <c r="K24" s="39">
        <f>FRA_input!K24</f>
        <v/>
      </c>
      <c r="L24" s="39">
        <f>FRA_input!L24</f>
        <v/>
      </c>
      <c r="M24" s="39">
        <f>FRA_input!M24</f>
        <v/>
      </c>
      <c r="N24" s="39">
        <f>FRA_input!N24</f>
        <v/>
      </c>
      <c r="O24" s="39">
        <f>FRA_input!O24</f>
        <v/>
      </c>
      <c r="P24" s="39">
        <f>FRA_input!P24</f>
        <v/>
      </c>
      <c r="Q24" s="39">
        <f>FRA_input!Q24</f>
        <v/>
      </c>
      <c r="R24" s="39">
        <f>FRA_input!R24</f>
        <v/>
      </c>
      <c r="S24" s="39">
        <f>FRA_input!S24</f>
        <v/>
      </c>
      <c r="T24" s="39">
        <f>FRA_input!T24</f>
        <v/>
      </c>
      <c r="U24" s="39">
        <f>FRA_input!U24</f>
        <v/>
      </c>
      <c r="V24" s="39">
        <f>FRA_input!V24</f>
        <v/>
      </c>
      <c r="W24" s="39">
        <f>FRA_input!W24</f>
        <v/>
      </c>
      <c r="X24" s="39">
        <f>FRA_input!X24</f>
        <v/>
      </c>
      <c r="Y24" s="39">
        <f>FRA_input!Y24</f>
        <v/>
      </c>
      <c r="Z24" s="39">
        <f>FRA_input!Z24</f>
        <v/>
      </c>
      <c r="AA24" s="39">
        <f>FRA_input!AA24</f>
        <v/>
      </c>
      <c r="AB24" s="39">
        <f>FRA_input!AB24</f>
        <v/>
      </c>
      <c r="AC24" s="39">
        <f>FRA_input!AC24</f>
        <v/>
      </c>
    </row>
    <row r="25" ht="14.25" customHeight="1" s="184">
      <c r="A25" s="39" t="n"/>
      <c r="B25" s="39" t="n"/>
      <c r="C25" s="39" t="n"/>
      <c r="D25" s="39" t="inlineStr">
        <is>
          <t>Proksi 2.3</t>
        </is>
      </c>
      <c r="E25" s="39">
        <f>FRA_input!E25</f>
        <v/>
      </c>
      <c r="F25" s="39">
        <f>FRA_input!F25</f>
        <v/>
      </c>
      <c r="G25" s="39">
        <f>FRA_input!G25</f>
        <v/>
      </c>
      <c r="H25" s="39">
        <f>FRA_input!H25</f>
        <v/>
      </c>
      <c r="I25" s="39">
        <f>FRA_input!I25</f>
        <v/>
      </c>
      <c r="J25" s="39">
        <f>FRA_input!J25</f>
        <v/>
      </c>
      <c r="K25" s="39">
        <f>FRA_input!K25</f>
        <v/>
      </c>
      <c r="L25" s="39">
        <f>FRA_input!L25</f>
        <v/>
      </c>
      <c r="M25" s="39">
        <f>FRA_input!M25</f>
        <v/>
      </c>
      <c r="N25" s="39">
        <f>FRA_input!N25</f>
        <v/>
      </c>
      <c r="O25" s="39">
        <f>FRA_input!O25</f>
        <v/>
      </c>
      <c r="P25" s="39">
        <f>FRA_input!P25</f>
        <v/>
      </c>
      <c r="Q25" s="39">
        <f>FRA_input!Q25</f>
        <v/>
      </c>
      <c r="R25" s="39">
        <f>FRA_input!R25</f>
        <v/>
      </c>
      <c r="S25" s="39">
        <f>FRA_input!S25</f>
        <v/>
      </c>
      <c r="T25" s="39">
        <f>FRA_input!T25</f>
        <v/>
      </c>
      <c r="U25" s="39">
        <f>FRA_input!U25</f>
        <v/>
      </c>
      <c r="V25" s="39">
        <f>FRA_input!V25</f>
        <v/>
      </c>
      <c r="W25" s="39">
        <f>FRA_input!W25</f>
        <v/>
      </c>
      <c r="X25" s="39">
        <f>FRA_input!X25</f>
        <v/>
      </c>
      <c r="Y25" s="39">
        <f>FRA_input!Y25</f>
        <v/>
      </c>
      <c r="Z25" s="39">
        <f>FRA_input!Z25</f>
        <v/>
      </c>
      <c r="AA25" s="39">
        <f>FRA_input!AA25</f>
        <v/>
      </c>
      <c r="AB25" s="39">
        <f>FRA_input!AB25</f>
        <v/>
      </c>
      <c r="AC25" s="39">
        <f>FRA_input!AC25</f>
        <v/>
      </c>
    </row>
    <row r="26" ht="14.25" customHeight="1" s="184">
      <c r="A26" s="39" t="n"/>
      <c r="B26" s="39" t="n"/>
      <c r="C26" s="39" t="n"/>
      <c r="D26" s="39" t="n"/>
      <c r="E26" s="39" t="n"/>
      <c r="F26" s="39" t="n"/>
      <c r="G26" s="39" t="n"/>
      <c r="H26" s="39" t="n"/>
      <c r="I26" s="39" t="n"/>
      <c r="J26" s="39" t="n"/>
      <c r="K26" s="39" t="n"/>
      <c r="L26" s="39" t="n"/>
      <c r="M26" s="39" t="n"/>
      <c r="N26" s="39" t="n"/>
      <c r="O26" s="39" t="n"/>
      <c r="P26" s="39" t="n"/>
      <c r="Q26" s="39" t="n"/>
      <c r="R26" s="39" t="n"/>
      <c r="S26" s="39" t="n"/>
      <c r="T26" s="39" t="n"/>
      <c r="U26" s="39" t="n"/>
      <c r="V26" s="39" t="n"/>
      <c r="W26" s="39" t="n"/>
      <c r="X26" s="39" t="n"/>
      <c r="Y26" s="39" t="n"/>
      <c r="Z26" s="39" t="n"/>
      <c r="AA26" s="39" t="n"/>
      <c r="AB26" s="39" t="n"/>
      <c r="AC26" s="39" t="n"/>
    </row>
    <row r="27" ht="14.25" customHeight="1" s="184">
      <c r="A27" s="41" t="n"/>
      <c r="B27" s="41" t="n"/>
      <c r="C27" s="41" t="n"/>
      <c r="D27" s="218" t="inlineStr">
        <is>
          <t>REPORT CAPAIAN KINERJA</t>
        </is>
      </c>
      <c r="E27" s="41" t="n"/>
      <c r="F27" s="41" t="n"/>
      <c r="G27" s="41" t="n"/>
      <c r="H27" s="41" t="n"/>
      <c r="I27" s="41" t="n"/>
      <c r="J27" s="41" t="n"/>
      <c r="K27" s="41" t="n"/>
      <c r="L27" s="41" t="n"/>
      <c r="M27" s="41" t="n"/>
      <c r="N27" s="42" t="n"/>
      <c r="O27" s="43" t="inlineStr">
        <is>
          <t>Capaian Proksi IKU 1</t>
        </is>
      </c>
      <c r="P27" s="47" t="inlineStr">
        <is>
          <t>rata2 capaian proksi IKU 1</t>
        </is>
      </c>
      <c r="Q27" s="47" t="n"/>
      <c r="R27" s="47" t="n"/>
      <c r="S27" s="47" t="n"/>
      <c r="T27" s="47" t="n"/>
      <c r="U27" s="47" t="n"/>
      <c r="V27" s="47" t="n"/>
      <c r="W27" s="47" t="n"/>
      <c r="X27" s="41" t="n"/>
      <c r="Y27" s="41" t="n"/>
      <c r="Z27" s="41" t="n"/>
      <c r="AA27" s="41" t="n"/>
      <c r="AB27" s="41" t="n"/>
      <c r="AC27" s="41" t="n"/>
    </row>
    <row r="28" ht="14.25" customHeight="1" s="184">
      <c r="A28" s="41" t="n"/>
      <c r="B28" s="44" t="n"/>
      <c r="C28" s="41" t="n"/>
      <c r="D28" s="205" t="n"/>
      <c r="E28" s="41" t="n"/>
      <c r="F28" s="41" t="n"/>
      <c r="G28" s="41" t="n"/>
      <c r="H28" s="41" t="n"/>
      <c r="I28" s="41" t="n"/>
      <c r="J28" s="41" t="n"/>
      <c r="K28" s="41" t="n"/>
      <c r="L28" s="41" t="n"/>
      <c r="M28" s="41" t="n"/>
      <c r="N28" s="42" t="n"/>
      <c r="O28" s="43" t="inlineStr">
        <is>
          <t>Capaian Proksi IKU 2</t>
        </is>
      </c>
      <c r="P28" s="47" t="inlineStr">
        <is>
          <t>rata2 capaian proksi IKU 2</t>
        </is>
      </c>
      <c r="Q28" s="47" t="n"/>
      <c r="R28" s="47" t="n"/>
      <c r="S28" s="47" t="n"/>
      <c r="T28" s="47" t="n"/>
      <c r="U28" s="47" t="n"/>
      <c r="V28" s="47" t="n"/>
      <c r="W28" s="47" t="n"/>
      <c r="X28" s="41" t="n"/>
      <c r="Y28" s="41" t="n"/>
      <c r="Z28" s="41" t="n"/>
      <c r="AA28" s="41" t="n"/>
      <c r="AB28" s="41" t="n"/>
      <c r="AC28" s="41" t="n"/>
    </row>
    <row r="29" ht="14.25" customHeight="1" s="184">
      <c r="A29" s="41" t="n"/>
      <c r="B29" s="44" t="n"/>
      <c r="C29" s="41" t="n"/>
      <c r="D29" s="205" t="n"/>
      <c r="E29" s="41" t="n"/>
      <c r="F29" s="41" t="n"/>
      <c r="G29" s="41" t="n"/>
      <c r="H29" s="41" t="n"/>
      <c r="I29" s="41" t="n"/>
      <c r="J29" s="41" t="n"/>
      <c r="K29" s="41" t="n"/>
      <c r="L29" s="41" t="n"/>
      <c r="M29" s="41" t="n"/>
      <c r="N29" s="42" t="n"/>
      <c r="O29" s="43" t="inlineStr">
        <is>
          <t>Capaian Proksi IKU 3</t>
        </is>
      </c>
      <c r="P29" s="47" t="inlineStr">
        <is>
          <t>rata2 capaian proksi IKU 3</t>
        </is>
      </c>
      <c r="Q29" s="47" t="n"/>
      <c r="R29" s="47" t="n"/>
      <c r="S29" s="47" t="n"/>
      <c r="T29" s="47" t="n"/>
      <c r="U29" s="47" t="n"/>
      <c r="V29" s="47" t="n"/>
      <c r="W29" s="47" t="n"/>
      <c r="X29" s="41" t="n"/>
      <c r="Y29" s="41" t="n"/>
      <c r="Z29" s="41" t="n"/>
      <c r="AA29" s="41" t="n"/>
      <c r="AB29" s="41" t="n"/>
      <c r="AC29" s="41" t="n"/>
    </row>
    <row r="30" ht="14.25" customHeight="1" s="184">
      <c r="A30" s="41" t="n"/>
      <c r="B30" s="41" t="n"/>
      <c r="C30" s="41" t="n"/>
      <c r="D30" s="205" t="n"/>
      <c r="E30" s="41" t="n"/>
      <c r="F30" s="41" t="n"/>
      <c r="G30" s="41" t="n"/>
      <c r="H30" s="41" t="n"/>
      <c r="I30" s="41" t="n"/>
      <c r="J30" s="41" t="n"/>
      <c r="K30" s="41" t="n"/>
      <c r="L30" s="41" t="n"/>
      <c r="M30" s="41" t="n"/>
      <c r="N30" s="42" t="n"/>
      <c r="O30" s="43" t="inlineStr">
        <is>
          <t>Capaian Proksi IKU 4</t>
        </is>
      </c>
      <c r="P30" s="47" t="inlineStr">
        <is>
          <t>rata2 capaian proksi IKU 4</t>
        </is>
      </c>
      <c r="Q30" s="47" t="n"/>
      <c r="R30" s="47" t="n"/>
      <c r="S30" s="47" t="n"/>
      <c r="T30" s="47" t="n"/>
      <c r="U30" s="47" t="n"/>
      <c r="V30" s="47" t="n"/>
      <c r="W30" s="47" t="n"/>
      <c r="X30" s="41" t="n"/>
      <c r="Y30" s="41" t="n"/>
      <c r="Z30" s="41" t="n"/>
      <c r="AA30" s="41" t="n"/>
      <c r="AB30" s="41" t="n"/>
      <c r="AC30" s="41" t="n"/>
    </row>
    <row r="31" ht="14.25" customHeight="1" s="184">
      <c r="A31" s="41" t="n"/>
      <c r="B31" s="41" t="n"/>
      <c r="C31" s="41" t="n"/>
      <c r="D31" s="205" t="n"/>
      <c r="E31" s="41" t="n"/>
      <c r="F31" s="41" t="n"/>
      <c r="G31" s="41" t="n"/>
      <c r="H31" s="41" t="n"/>
      <c r="I31" s="41" t="n"/>
      <c r="J31" s="41" t="n"/>
      <c r="K31" s="41" t="n"/>
      <c r="L31" s="41" t="n"/>
      <c r="M31" s="41" t="n"/>
      <c r="N31" s="42" t="n"/>
      <c r="O31" s="43" t="inlineStr">
        <is>
          <t>Capaian IKU 1</t>
        </is>
      </c>
      <c r="P31" s="47" t="n"/>
      <c r="Q31" s="47" t="n"/>
      <c r="R31" s="47" t="n"/>
      <c r="S31" s="47" t="n"/>
      <c r="T31" s="47" t="n"/>
      <c r="U31" s="47" t="n"/>
      <c r="V31" s="47" t="n"/>
      <c r="W31" s="47" t="n"/>
      <c r="X31" s="41" t="n"/>
      <c r="Y31" s="41" t="n"/>
      <c r="Z31" s="41" t="n"/>
      <c r="AA31" s="41" t="n"/>
      <c r="AB31" s="41" t="n"/>
      <c r="AC31" s="41" t="n"/>
    </row>
    <row r="32" ht="14.25" customHeight="1" s="184">
      <c r="A32" s="41" t="n"/>
      <c r="B32" s="41" t="n"/>
      <c r="C32" s="41" t="n"/>
      <c r="D32" s="205" t="n"/>
      <c r="E32" s="41" t="n"/>
      <c r="F32" s="41" t="n"/>
      <c r="G32" s="41" t="n"/>
      <c r="H32" s="41" t="n"/>
      <c r="I32" s="41" t="n"/>
      <c r="J32" s="41" t="n"/>
      <c r="K32" s="41" t="n"/>
      <c r="L32" s="41" t="n"/>
      <c r="M32" s="41" t="n"/>
      <c r="N32" s="42" t="n"/>
      <c r="O32" s="43" t="inlineStr">
        <is>
          <t>Capaian IKU 2</t>
        </is>
      </c>
      <c r="P32" s="47" t="n"/>
      <c r="Q32" s="47" t="n"/>
      <c r="R32" s="47" t="n"/>
      <c r="S32" s="47" t="n"/>
      <c r="T32" s="47" t="n"/>
      <c r="U32" s="47" t="n"/>
      <c r="V32" s="47" t="n"/>
      <c r="W32" s="47" t="n"/>
      <c r="X32" s="41" t="n"/>
      <c r="Y32" s="41" t="n"/>
      <c r="Z32" s="41" t="n"/>
      <c r="AA32" s="41" t="n"/>
      <c r="AB32" s="41" t="n"/>
      <c r="AC32" s="41" t="n"/>
    </row>
    <row r="33" ht="14.25" customHeight="1" s="184">
      <c r="A33" s="41" t="n"/>
      <c r="B33" s="41" t="n"/>
      <c r="C33" s="41" t="n"/>
      <c r="D33" s="205" t="n"/>
      <c r="E33" s="41" t="n"/>
      <c r="F33" s="41" t="n"/>
      <c r="G33" s="41" t="n"/>
      <c r="H33" s="41" t="n"/>
      <c r="I33" s="41" t="n"/>
      <c r="J33" s="41" t="n"/>
      <c r="K33" s="41" t="n"/>
      <c r="L33" s="41" t="n"/>
      <c r="M33" s="41" t="n"/>
      <c r="N33" s="42" t="n"/>
      <c r="O33" s="43" t="inlineStr">
        <is>
          <t>Capaian IKU 3</t>
        </is>
      </c>
      <c r="P33" s="47" t="n"/>
      <c r="Q33" s="47" t="n"/>
      <c r="R33" s="47" t="n"/>
      <c r="S33" s="47" t="n"/>
      <c r="T33" s="47" t="n"/>
      <c r="U33" s="47" t="n"/>
      <c r="V33" s="47" t="n"/>
      <c r="W33" s="47" t="n"/>
      <c r="X33" s="41" t="n"/>
      <c r="Y33" s="41" t="n"/>
      <c r="Z33" s="41" t="n"/>
      <c r="AA33" s="41" t="n"/>
      <c r="AB33" s="41" t="n"/>
      <c r="AC33" s="41" t="n"/>
    </row>
    <row r="34" ht="14.25" customHeight="1" s="184">
      <c r="A34" s="41" t="n"/>
      <c r="B34" s="41" t="n"/>
      <c r="C34" s="41" t="n"/>
      <c r="D34" s="205" t="n"/>
      <c r="E34" s="41" t="n"/>
      <c r="F34" s="41" t="n"/>
      <c r="G34" s="41" t="n"/>
      <c r="H34" s="41" t="n"/>
      <c r="I34" s="41" t="n"/>
      <c r="J34" s="41" t="n"/>
      <c r="K34" s="41" t="n"/>
      <c r="L34" s="41" t="n"/>
      <c r="M34" s="41" t="n"/>
      <c r="N34" s="42" t="n"/>
      <c r="O34" s="43" t="inlineStr">
        <is>
          <t>Capaian IKU 4</t>
        </is>
      </c>
      <c r="P34" s="47" t="n"/>
      <c r="Q34" s="47" t="n"/>
      <c r="R34" s="47" t="n"/>
      <c r="S34" s="47" t="n"/>
      <c r="T34" s="47" t="n"/>
      <c r="U34" s="47" t="n"/>
      <c r="V34" s="47" t="n"/>
      <c r="W34" s="47" t="n"/>
      <c r="X34" s="41" t="n"/>
      <c r="Y34" s="41" t="n"/>
      <c r="Z34" s="41" t="n"/>
      <c r="AA34" s="41" t="n"/>
      <c r="AB34" s="41" t="n"/>
      <c r="AC34" s="41" t="n"/>
    </row>
    <row r="35" ht="14.25" customHeight="1" s="184">
      <c r="A35" s="41" t="n"/>
      <c r="B35" s="41" t="n"/>
      <c r="C35" s="41" t="n"/>
      <c r="D35" s="205" t="n"/>
      <c r="E35" s="41" t="n"/>
      <c r="F35" s="41" t="n"/>
      <c r="G35" s="41" t="n"/>
      <c r="H35" s="41" t="n"/>
      <c r="I35" s="41" t="n"/>
      <c r="J35" s="41" t="n"/>
      <c r="K35" s="41" t="n"/>
      <c r="L35" s="41" t="n"/>
      <c r="M35" s="41" t="n"/>
      <c r="N35" s="42" t="n"/>
      <c r="O35" s="43" t="inlineStr">
        <is>
          <t>Capaian Sasaran 1</t>
        </is>
      </c>
      <c r="P35" s="44" t="inlineStr">
        <is>
          <t>rata2 capaian IKU 12</t>
        </is>
      </c>
      <c r="Q35" s="41" t="n"/>
      <c r="R35" s="41" t="n"/>
      <c r="S35" s="47" t="n"/>
      <c r="T35" s="41" t="n"/>
      <c r="U35" s="41" t="n"/>
      <c r="V35" s="41" t="n"/>
      <c r="W35" s="47" t="n"/>
      <c r="X35" s="41" t="n"/>
      <c r="Y35" s="41" t="n"/>
      <c r="Z35" s="41" t="n"/>
      <c r="AA35" s="41" t="n"/>
      <c r="AB35" s="41" t="n"/>
      <c r="AC35" s="41" t="n"/>
    </row>
    <row r="36" ht="14.25" customHeight="1" s="184">
      <c r="A36" s="41" t="n"/>
      <c r="B36" s="41" t="n"/>
      <c r="C36" s="41" t="n"/>
      <c r="D36" s="205" t="n"/>
      <c r="E36" s="41" t="n"/>
      <c r="F36" s="41" t="n"/>
      <c r="G36" s="41" t="n"/>
      <c r="H36" s="41" t="n"/>
      <c r="I36" s="41" t="n"/>
      <c r="J36" s="41" t="n"/>
      <c r="K36" s="41" t="n"/>
      <c r="L36" s="41" t="n"/>
      <c r="M36" s="41" t="n"/>
      <c r="N36" s="42" t="n"/>
      <c r="O36" s="43" t="inlineStr">
        <is>
          <t>Capaian Sasaran 2</t>
        </is>
      </c>
      <c r="P36" s="44" t="inlineStr">
        <is>
          <t>rata2 capaian IKU 34</t>
        </is>
      </c>
      <c r="Q36" s="41" t="n"/>
      <c r="R36" s="41" t="n"/>
      <c r="S36" s="47" t="n"/>
      <c r="T36" s="41" t="n"/>
      <c r="U36" s="41" t="n"/>
      <c r="V36" s="41" t="n"/>
      <c r="W36" s="47" t="n"/>
      <c r="X36" s="41" t="n"/>
      <c r="Y36" s="41" t="n"/>
      <c r="Z36" s="41" t="n"/>
      <c r="AA36" s="41" t="n"/>
      <c r="AB36" s="41" t="n"/>
      <c r="AC36" s="41" t="n"/>
    </row>
    <row r="37" ht="14.25" customHeight="1" s="184">
      <c r="A37" s="41" t="n"/>
      <c r="B37" s="41" t="n"/>
      <c r="C37" s="41" t="n"/>
      <c r="D37" s="205" t="n"/>
      <c r="E37" s="41" t="n"/>
      <c r="F37" s="41" t="n"/>
      <c r="G37" s="41" t="n"/>
      <c r="H37" s="41" t="n"/>
      <c r="I37" s="41" t="n"/>
      <c r="J37" s="41" t="n"/>
      <c r="K37" s="41" t="n"/>
      <c r="L37" s="41" t="n"/>
      <c r="M37" s="41" t="n"/>
      <c r="N37" s="42" t="n"/>
      <c r="O37" s="43" t="inlineStr">
        <is>
          <t>Capaian Tujuan 1</t>
        </is>
      </c>
      <c r="P37" s="41" t="n"/>
      <c r="Q37" s="41" t="n"/>
      <c r="R37" s="41" t="n"/>
      <c r="S37" s="47" t="n"/>
      <c r="T37" s="41" t="n"/>
      <c r="U37" s="41" t="n"/>
      <c r="V37" s="41" t="n"/>
      <c r="W37" s="47" t="n"/>
      <c r="X37" s="41" t="n"/>
      <c r="Y37" s="41" t="n"/>
      <c r="Z37" s="41" t="n"/>
      <c r="AA37" s="41" t="n"/>
      <c r="AB37" s="41" t="n"/>
      <c r="AC37" s="41" t="n"/>
    </row>
    <row r="38" ht="14.25" customHeight="1" s="184">
      <c r="A38" s="41" t="n"/>
      <c r="B38" s="41" t="n"/>
      <c r="C38" s="41" t="n"/>
      <c r="D38" s="209" t="n"/>
      <c r="E38" s="41" t="n"/>
      <c r="F38" s="41" t="n"/>
      <c r="G38" s="41" t="n"/>
      <c r="H38" s="41" t="n"/>
      <c r="I38" s="41" t="n"/>
      <c r="J38" s="41" t="n"/>
      <c r="K38" s="41" t="n"/>
      <c r="L38" s="41" t="n"/>
      <c r="M38" s="41" t="n"/>
      <c r="N38" s="42" t="n"/>
      <c r="O38" s="43" t="inlineStr">
        <is>
          <t>Capaian Tujuan 2</t>
        </is>
      </c>
      <c r="P38" s="41" t="n"/>
      <c r="Q38" s="41" t="n"/>
      <c r="R38" s="41" t="n"/>
      <c r="S38" s="47" t="n"/>
      <c r="T38" s="41" t="n"/>
      <c r="U38" s="41" t="n"/>
      <c r="V38" s="41" t="n"/>
      <c r="W38" s="47" t="n"/>
      <c r="X38" s="41" t="n"/>
      <c r="Y38" s="41" t="n"/>
      <c r="Z38" s="41" t="n"/>
      <c r="AA38" s="41" t="n"/>
      <c r="AB38" s="41" t="n"/>
      <c r="AC38" s="41" t="n"/>
    </row>
    <row r="39" ht="14.25" customHeight="1" s="18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row>
    <row r="40" ht="14.25" customHeight="1" s="184">
      <c r="A40" s="46" t="inlineStr">
        <is>
          <t>ESELON II</t>
        </is>
      </c>
    </row>
    <row r="41" ht="14.25" customHeight="1" s="184">
      <c r="A41" s="39" t="inlineStr">
        <is>
          <t>T1</t>
        </is>
      </c>
      <c r="B41" s="39" t="n"/>
      <c r="C41" s="39" t="n"/>
      <c r="D41" s="39" t="n"/>
      <c r="E41" s="39" t="n"/>
      <c r="F41" s="39" t="n"/>
      <c r="G41" s="39" t="n"/>
      <c r="H41" s="39" t="n"/>
      <c r="I41" s="39" t="n"/>
      <c r="J41" s="39" t="n"/>
      <c r="K41" s="39" t="n"/>
      <c r="L41" s="39" t="n"/>
      <c r="M41" s="39" t="n"/>
      <c r="N41" s="39" t="n"/>
      <c r="O41" s="39" t="n"/>
      <c r="P41" s="39" t="n"/>
      <c r="Q41" s="39" t="n"/>
      <c r="R41" s="39" t="n"/>
      <c r="S41" s="39" t="n"/>
      <c r="T41" s="39" t="n"/>
      <c r="U41" s="39" t="n"/>
      <c r="V41" s="39" t="n"/>
      <c r="W41" s="39" t="n"/>
      <c r="X41" s="39" t="n"/>
      <c r="Y41" s="39" t="n"/>
      <c r="Z41" s="39" t="n"/>
      <c r="AA41" s="39" t="n"/>
      <c r="AB41" s="39" t="n"/>
      <c r="AC41" s="39" t="n"/>
    </row>
    <row r="42" ht="14.25" customHeight="1" s="184">
      <c r="A42" s="39" t="n"/>
      <c r="B42" s="39" t="inlineStr">
        <is>
          <t>S1</t>
        </is>
      </c>
      <c r="C42" s="39" t="n"/>
      <c r="D42" s="39" t="n"/>
      <c r="E42" s="39" t="n"/>
      <c r="F42" s="39" t="n"/>
      <c r="G42" s="39" t="n"/>
      <c r="H42" s="39" t="n"/>
      <c r="I42" s="39" t="n"/>
      <c r="J42" s="39" t="n"/>
      <c r="K42" s="39" t="n"/>
      <c r="L42" s="39" t="n"/>
      <c r="M42" s="39" t="n"/>
      <c r="N42" s="39" t="n"/>
      <c r="O42" s="39" t="n"/>
      <c r="P42" s="39" t="n"/>
      <c r="Q42" s="39" t="n"/>
      <c r="R42" s="39" t="n"/>
      <c r="S42" s="39" t="n"/>
      <c r="T42" s="39" t="n"/>
      <c r="U42" s="39" t="n"/>
      <c r="V42" s="39" t="n"/>
      <c r="W42" s="39" t="n"/>
      <c r="X42" s="39" t="n"/>
      <c r="Y42" s="39" t="n"/>
      <c r="Z42" s="39" t="n"/>
      <c r="AA42" s="39" t="n"/>
      <c r="AB42" s="39" t="n"/>
      <c r="AC42" s="39" t="n"/>
    </row>
    <row r="43" ht="14.25" customHeight="1" s="184">
      <c r="A43" s="39" t="n"/>
      <c r="B43" s="39" t="n"/>
      <c r="C43" s="39" t="inlineStr">
        <is>
          <t>IKU 1</t>
        </is>
      </c>
      <c r="D43" s="39" t="n"/>
      <c r="E43" s="39">
        <f>FRA_input!E43</f>
        <v/>
      </c>
      <c r="F43" s="39">
        <f>FRA_input!F43</f>
        <v/>
      </c>
      <c r="G43" s="39">
        <f>FRA_input!G43</f>
        <v/>
      </c>
      <c r="H43" s="39">
        <f>FRA_input!H43</f>
        <v/>
      </c>
      <c r="I43" s="39">
        <f>FRA_input!I43</f>
        <v/>
      </c>
      <c r="J43" s="39">
        <f>FRA_input!J43</f>
        <v/>
      </c>
      <c r="K43" s="39">
        <f>FRA_input!K43</f>
        <v/>
      </c>
      <c r="L43" s="39">
        <f>FRA_input!L43</f>
        <v/>
      </c>
      <c r="M43" s="39">
        <f>FRA_input!M43</f>
        <v/>
      </c>
      <c r="N43" s="39">
        <f>FRA_input!N43</f>
        <v/>
      </c>
      <c r="O43" s="39">
        <f>FRA_input!O43</f>
        <v/>
      </c>
      <c r="P43" s="39">
        <f>FRA_input!P43</f>
        <v/>
      </c>
      <c r="Q43" s="39">
        <f>FRA_input!Q43</f>
        <v/>
      </c>
      <c r="R43" s="39">
        <f>FRA_input!R43</f>
        <v/>
      </c>
      <c r="S43" s="39">
        <f>FRA_input!S43</f>
        <v/>
      </c>
      <c r="T43" s="39">
        <f>FRA_input!T43</f>
        <v/>
      </c>
      <c r="U43" s="39">
        <f>FRA_input!U43</f>
        <v/>
      </c>
      <c r="V43" s="39">
        <f>FRA_input!V43</f>
        <v/>
      </c>
      <c r="W43" s="39">
        <f>FRA_input!W43</f>
        <v/>
      </c>
      <c r="X43" s="39">
        <f>FRA_input!X43</f>
        <v/>
      </c>
      <c r="Y43" s="39">
        <f>FRA_input!Y43</f>
        <v/>
      </c>
      <c r="Z43" s="39">
        <f>FRA_input!Z43</f>
        <v/>
      </c>
      <c r="AA43" s="39">
        <f>FRA_input!AA43</f>
        <v/>
      </c>
      <c r="AB43" s="39">
        <f>FRA_input!AB43</f>
        <v/>
      </c>
      <c r="AC43" s="39">
        <f>FRA_input!AC43</f>
        <v/>
      </c>
    </row>
    <row r="44" ht="14.25" customHeight="1" s="184">
      <c r="A44" s="39" t="n"/>
      <c r="B44" s="39" t="n"/>
      <c r="C44" s="39" t="n"/>
      <c r="D44" s="39" t="inlineStr">
        <is>
          <t>Proksi 1.1</t>
        </is>
      </c>
      <c r="E44" s="39">
        <f>FRA_input!E44</f>
        <v/>
      </c>
      <c r="F44" s="39">
        <f>FRA_input!F44</f>
        <v/>
      </c>
      <c r="G44" s="39">
        <f>FRA_input!G44</f>
        <v/>
      </c>
      <c r="H44" s="39">
        <f>FRA_input!H44</f>
        <v/>
      </c>
      <c r="I44" s="39">
        <f>FRA_input!I44</f>
        <v/>
      </c>
      <c r="J44" s="39">
        <f>FRA_input!J44</f>
        <v/>
      </c>
      <c r="K44" s="39">
        <f>FRA_input!K44</f>
        <v/>
      </c>
      <c r="L44" s="39">
        <f>FRA_input!L44</f>
        <v/>
      </c>
      <c r="M44" s="39">
        <f>FRA_input!M44</f>
        <v/>
      </c>
      <c r="N44" s="39">
        <f>FRA_input!N44</f>
        <v/>
      </c>
      <c r="O44" s="39">
        <f>FRA_input!O44</f>
        <v/>
      </c>
      <c r="P44" s="39">
        <f>FRA_input!P44</f>
        <v/>
      </c>
      <c r="Q44" s="39">
        <f>FRA_input!Q44</f>
        <v/>
      </c>
      <c r="R44" s="39">
        <f>FRA_input!R44</f>
        <v/>
      </c>
      <c r="S44" s="39">
        <f>FRA_input!S44</f>
        <v/>
      </c>
      <c r="T44" s="39">
        <f>FRA_input!T44</f>
        <v/>
      </c>
      <c r="U44" s="39">
        <f>FRA_input!U44</f>
        <v/>
      </c>
      <c r="V44" s="39">
        <f>FRA_input!V44</f>
        <v/>
      </c>
      <c r="W44" s="39">
        <f>FRA_input!W44</f>
        <v/>
      </c>
      <c r="X44" s="39">
        <f>FRA_input!X44</f>
        <v/>
      </c>
      <c r="Y44" s="39">
        <f>FRA_input!Y44</f>
        <v/>
      </c>
      <c r="Z44" s="39">
        <f>FRA_input!Z44</f>
        <v/>
      </c>
      <c r="AA44" s="39">
        <f>FRA_input!AA44</f>
        <v/>
      </c>
      <c r="AB44" s="39">
        <f>FRA_input!AB44</f>
        <v/>
      </c>
      <c r="AC44" s="39">
        <f>FRA_input!AC44</f>
        <v/>
      </c>
    </row>
    <row r="45" ht="14.25" customHeight="1" s="184">
      <c r="A45" s="39" t="n"/>
      <c r="B45" s="39" t="n"/>
      <c r="C45" s="39" t="n"/>
      <c r="D45" s="39" t="inlineStr">
        <is>
          <t>Proksi 1.2</t>
        </is>
      </c>
      <c r="E45" s="39">
        <f>FRA_input!E45</f>
        <v/>
      </c>
      <c r="F45" s="39">
        <f>FRA_input!F45</f>
        <v/>
      </c>
      <c r="G45" s="39">
        <f>FRA_input!G45</f>
        <v/>
      </c>
      <c r="H45" s="39">
        <f>FRA_input!H45</f>
        <v/>
      </c>
      <c r="I45" s="39">
        <f>FRA_input!I45</f>
        <v/>
      </c>
      <c r="J45" s="39">
        <f>FRA_input!J45</f>
        <v/>
      </c>
      <c r="K45" s="39">
        <f>FRA_input!K45</f>
        <v/>
      </c>
      <c r="L45" s="39">
        <f>FRA_input!L45</f>
        <v/>
      </c>
      <c r="M45" s="39">
        <f>FRA_input!M45</f>
        <v/>
      </c>
      <c r="N45" s="39">
        <f>FRA_input!N45</f>
        <v/>
      </c>
      <c r="O45" s="39">
        <f>FRA_input!O45</f>
        <v/>
      </c>
      <c r="P45" s="39">
        <f>FRA_input!P45</f>
        <v/>
      </c>
      <c r="Q45" s="39">
        <f>FRA_input!Q45</f>
        <v/>
      </c>
      <c r="R45" s="39">
        <f>FRA_input!R45</f>
        <v/>
      </c>
      <c r="S45" s="39">
        <f>FRA_input!S45</f>
        <v/>
      </c>
      <c r="T45" s="39">
        <f>FRA_input!T45</f>
        <v/>
      </c>
      <c r="U45" s="39">
        <f>FRA_input!U45</f>
        <v/>
      </c>
      <c r="V45" s="39">
        <f>FRA_input!V45</f>
        <v/>
      </c>
      <c r="W45" s="39">
        <f>FRA_input!W45</f>
        <v/>
      </c>
      <c r="X45" s="39">
        <f>FRA_input!X45</f>
        <v/>
      </c>
      <c r="Y45" s="39">
        <f>FRA_input!Y45</f>
        <v/>
      </c>
      <c r="Z45" s="39">
        <f>FRA_input!Z45</f>
        <v/>
      </c>
      <c r="AA45" s="39">
        <f>FRA_input!AA45</f>
        <v/>
      </c>
      <c r="AB45" s="39">
        <f>FRA_input!AB45</f>
        <v/>
      </c>
      <c r="AC45" s="39">
        <f>FRA_input!AC45</f>
        <v/>
      </c>
    </row>
    <row r="46" ht="14.25" customHeight="1" s="184">
      <c r="A46" s="39" t="n"/>
      <c r="B46" s="39" t="n"/>
      <c r="C46" s="39" t="n"/>
      <c r="D46" s="39" t="inlineStr">
        <is>
          <t>Proksi 1.3</t>
        </is>
      </c>
      <c r="E46" s="39">
        <f>FRA_input!E46</f>
        <v/>
      </c>
      <c r="F46" s="39">
        <f>FRA_input!F46</f>
        <v/>
      </c>
      <c r="G46" s="39">
        <f>FRA_input!G46</f>
        <v/>
      </c>
      <c r="H46" s="39">
        <f>FRA_input!H46</f>
        <v/>
      </c>
      <c r="I46" s="39">
        <f>FRA_input!I46</f>
        <v/>
      </c>
      <c r="J46" s="39">
        <f>FRA_input!J46</f>
        <v/>
      </c>
      <c r="K46" s="39">
        <f>FRA_input!K46</f>
        <v/>
      </c>
      <c r="L46" s="39">
        <f>FRA_input!L46</f>
        <v/>
      </c>
      <c r="M46" s="39">
        <f>FRA_input!M46</f>
        <v/>
      </c>
      <c r="N46" s="39">
        <f>FRA_input!N46</f>
        <v/>
      </c>
      <c r="O46" s="39">
        <f>FRA_input!O46</f>
        <v/>
      </c>
      <c r="P46" s="39">
        <f>FRA_input!P46</f>
        <v/>
      </c>
      <c r="Q46" s="39">
        <f>FRA_input!Q46</f>
        <v/>
      </c>
      <c r="R46" s="39">
        <f>FRA_input!R46</f>
        <v/>
      </c>
      <c r="S46" s="39">
        <f>FRA_input!S46</f>
        <v/>
      </c>
      <c r="T46" s="39">
        <f>FRA_input!T46</f>
        <v/>
      </c>
      <c r="U46" s="39">
        <f>FRA_input!U46</f>
        <v/>
      </c>
      <c r="V46" s="39">
        <f>FRA_input!V46</f>
        <v/>
      </c>
      <c r="W46" s="39">
        <f>FRA_input!W46</f>
        <v/>
      </c>
      <c r="X46" s="39">
        <f>FRA_input!X46</f>
        <v/>
      </c>
      <c r="Y46" s="39">
        <f>FRA_input!Y46</f>
        <v/>
      </c>
      <c r="Z46" s="39">
        <f>FRA_input!Z46</f>
        <v/>
      </c>
      <c r="AA46" s="39">
        <f>FRA_input!AA46</f>
        <v/>
      </c>
      <c r="AB46" s="39">
        <f>FRA_input!AB46</f>
        <v/>
      </c>
      <c r="AC46" s="39">
        <f>FRA_input!AC46</f>
        <v/>
      </c>
    </row>
    <row r="47" ht="14.25" customHeight="1" s="184">
      <c r="A47" s="39" t="n"/>
      <c r="B47" s="39" t="n"/>
      <c r="C47" s="39" t="inlineStr">
        <is>
          <t>IKU 2</t>
        </is>
      </c>
      <c r="D47" s="39" t="n"/>
      <c r="E47" s="39">
        <f>FRA_input!E47</f>
        <v/>
      </c>
      <c r="F47" s="39">
        <f>FRA_input!F47</f>
        <v/>
      </c>
      <c r="G47" s="39">
        <f>FRA_input!G47</f>
        <v/>
      </c>
      <c r="H47" s="39">
        <f>FRA_input!H47</f>
        <v/>
      </c>
      <c r="I47" s="39">
        <f>FRA_input!I47</f>
        <v/>
      </c>
      <c r="J47" s="39">
        <f>FRA_input!J47</f>
        <v/>
      </c>
      <c r="K47" s="39">
        <f>FRA_input!K47</f>
        <v/>
      </c>
      <c r="L47" s="39">
        <f>FRA_input!L47</f>
        <v/>
      </c>
      <c r="M47" s="39">
        <f>FRA_input!M47</f>
        <v/>
      </c>
      <c r="N47" s="39">
        <f>FRA_input!N47</f>
        <v/>
      </c>
      <c r="O47" s="39">
        <f>FRA_input!O47</f>
        <v/>
      </c>
      <c r="P47" s="39">
        <f>FRA_input!P47</f>
        <v/>
      </c>
      <c r="Q47" s="39">
        <f>FRA_input!Q47</f>
        <v/>
      </c>
      <c r="R47" s="39">
        <f>FRA_input!R47</f>
        <v/>
      </c>
      <c r="S47" s="39">
        <f>FRA_input!S47</f>
        <v/>
      </c>
      <c r="T47" s="39">
        <f>FRA_input!T47</f>
        <v/>
      </c>
      <c r="U47" s="39">
        <f>FRA_input!U47</f>
        <v/>
      </c>
      <c r="V47" s="39">
        <f>FRA_input!V47</f>
        <v/>
      </c>
      <c r="W47" s="39">
        <f>FRA_input!W47</f>
        <v/>
      </c>
      <c r="X47" s="39">
        <f>FRA_input!X47</f>
        <v/>
      </c>
      <c r="Y47" s="39">
        <f>FRA_input!Y47</f>
        <v/>
      </c>
      <c r="Z47" s="39">
        <f>FRA_input!Z47</f>
        <v/>
      </c>
      <c r="AA47" s="39">
        <f>FRA_input!AA47</f>
        <v/>
      </c>
      <c r="AB47" s="39">
        <f>FRA_input!AB47</f>
        <v/>
      </c>
      <c r="AC47" s="39">
        <f>FRA_input!AC47</f>
        <v/>
      </c>
    </row>
    <row r="48" ht="14.25" customHeight="1" s="184">
      <c r="A48" s="39" t="n"/>
      <c r="B48" s="39" t="n"/>
      <c r="C48" s="39" t="n"/>
      <c r="D48" s="39" t="inlineStr">
        <is>
          <t>Proksi 2.1</t>
        </is>
      </c>
      <c r="E48" s="39">
        <f>FRA_input!E48</f>
        <v/>
      </c>
      <c r="F48" s="39">
        <f>FRA_input!F48</f>
        <v/>
      </c>
      <c r="G48" s="39">
        <f>FRA_input!G48</f>
        <v/>
      </c>
      <c r="H48" s="39">
        <f>FRA_input!H48</f>
        <v/>
      </c>
      <c r="I48" s="39">
        <f>FRA_input!I48</f>
        <v/>
      </c>
      <c r="J48" s="39">
        <f>FRA_input!J48</f>
        <v/>
      </c>
      <c r="K48" s="39">
        <f>FRA_input!K48</f>
        <v/>
      </c>
      <c r="L48" s="39">
        <f>FRA_input!L48</f>
        <v/>
      </c>
      <c r="M48" s="39">
        <f>FRA_input!M48</f>
        <v/>
      </c>
      <c r="N48" s="39">
        <f>FRA_input!N48</f>
        <v/>
      </c>
      <c r="O48" s="39">
        <f>FRA_input!O48</f>
        <v/>
      </c>
      <c r="P48" s="39">
        <f>FRA_input!P48</f>
        <v/>
      </c>
      <c r="Q48" s="39">
        <f>FRA_input!Q48</f>
        <v/>
      </c>
      <c r="R48" s="39">
        <f>FRA_input!R48</f>
        <v/>
      </c>
      <c r="S48" s="39">
        <f>FRA_input!S48</f>
        <v/>
      </c>
      <c r="T48" s="39">
        <f>FRA_input!T48</f>
        <v/>
      </c>
      <c r="U48" s="39">
        <f>FRA_input!U48</f>
        <v/>
      </c>
      <c r="V48" s="39">
        <f>FRA_input!V48</f>
        <v/>
      </c>
      <c r="W48" s="39">
        <f>FRA_input!W48</f>
        <v/>
      </c>
      <c r="X48" s="39">
        <f>FRA_input!X48</f>
        <v/>
      </c>
      <c r="Y48" s="39">
        <f>FRA_input!Y48</f>
        <v/>
      </c>
      <c r="Z48" s="39">
        <f>FRA_input!Z48</f>
        <v/>
      </c>
      <c r="AA48" s="39">
        <f>FRA_input!AA48</f>
        <v/>
      </c>
      <c r="AB48" s="39">
        <f>FRA_input!AB48</f>
        <v/>
      </c>
      <c r="AC48" s="39">
        <f>FRA_input!AC48</f>
        <v/>
      </c>
    </row>
    <row r="49" ht="14.25" customHeight="1" s="184">
      <c r="A49" s="39" t="n"/>
      <c r="B49" s="39" t="n"/>
      <c r="C49" s="39" t="n"/>
      <c r="D49" s="39" t="inlineStr">
        <is>
          <t>Proksi 2.2</t>
        </is>
      </c>
      <c r="E49" s="39">
        <f>FRA_input!E49</f>
        <v/>
      </c>
      <c r="F49" s="39">
        <f>FRA_input!F49</f>
        <v/>
      </c>
      <c r="G49" s="39">
        <f>FRA_input!G49</f>
        <v/>
      </c>
      <c r="H49" s="39">
        <f>FRA_input!H49</f>
        <v/>
      </c>
      <c r="I49" s="39">
        <f>FRA_input!I49</f>
        <v/>
      </c>
      <c r="J49" s="39">
        <f>FRA_input!J49</f>
        <v/>
      </c>
      <c r="K49" s="39">
        <f>FRA_input!K49</f>
        <v/>
      </c>
      <c r="L49" s="39">
        <f>FRA_input!L49</f>
        <v/>
      </c>
      <c r="M49" s="39">
        <f>FRA_input!M49</f>
        <v/>
      </c>
      <c r="N49" s="39">
        <f>FRA_input!N49</f>
        <v/>
      </c>
      <c r="O49" s="39">
        <f>FRA_input!O49</f>
        <v/>
      </c>
      <c r="P49" s="39">
        <f>FRA_input!P49</f>
        <v/>
      </c>
      <c r="Q49" s="39">
        <f>FRA_input!Q49</f>
        <v/>
      </c>
      <c r="R49" s="39">
        <f>FRA_input!R49</f>
        <v/>
      </c>
      <c r="S49" s="39">
        <f>FRA_input!S49</f>
        <v/>
      </c>
      <c r="T49" s="39">
        <f>FRA_input!T49</f>
        <v/>
      </c>
      <c r="U49" s="39">
        <f>FRA_input!U49</f>
        <v/>
      </c>
      <c r="V49" s="39">
        <f>FRA_input!V49</f>
        <v/>
      </c>
      <c r="W49" s="39">
        <f>FRA_input!W49</f>
        <v/>
      </c>
      <c r="X49" s="39">
        <f>FRA_input!X49</f>
        <v/>
      </c>
      <c r="Y49" s="39">
        <f>FRA_input!Y49</f>
        <v/>
      </c>
      <c r="Z49" s="39">
        <f>FRA_input!Z49</f>
        <v/>
      </c>
      <c r="AA49" s="39">
        <f>FRA_input!AA49</f>
        <v/>
      </c>
      <c r="AB49" s="39">
        <f>FRA_input!AB49</f>
        <v/>
      </c>
      <c r="AC49" s="39">
        <f>FRA_input!AC49</f>
        <v/>
      </c>
    </row>
    <row r="50" ht="14.25" customHeight="1" s="184">
      <c r="A50" s="39" t="n"/>
      <c r="B50" s="39" t="n"/>
      <c r="C50" s="39" t="n"/>
      <c r="D50" s="39" t="inlineStr">
        <is>
          <t>Proksi 2.3</t>
        </is>
      </c>
      <c r="E50" s="39">
        <f>FRA_input!E50</f>
        <v/>
      </c>
      <c r="F50" s="39">
        <f>FRA_input!F50</f>
        <v/>
      </c>
      <c r="G50" s="39">
        <f>FRA_input!G50</f>
        <v/>
      </c>
      <c r="H50" s="39">
        <f>FRA_input!H50</f>
        <v/>
      </c>
      <c r="I50" s="39">
        <f>FRA_input!I50</f>
        <v/>
      </c>
      <c r="J50" s="39">
        <f>FRA_input!J50</f>
        <v/>
      </c>
      <c r="K50" s="39">
        <f>FRA_input!K50</f>
        <v/>
      </c>
      <c r="L50" s="39">
        <f>FRA_input!L50</f>
        <v/>
      </c>
      <c r="M50" s="39">
        <f>FRA_input!M50</f>
        <v/>
      </c>
      <c r="N50" s="39">
        <f>FRA_input!N50</f>
        <v/>
      </c>
      <c r="O50" s="39">
        <f>FRA_input!O50</f>
        <v/>
      </c>
      <c r="P50" s="39">
        <f>FRA_input!P50</f>
        <v/>
      </c>
      <c r="Q50" s="39">
        <f>FRA_input!Q50</f>
        <v/>
      </c>
      <c r="R50" s="39">
        <f>FRA_input!R50</f>
        <v/>
      </c>
      <c r="S50" s="39">
        <f>FRA_input!S50</f>
        <v/>
      </c>
      <c r="T50" s="39">
        <f>FRA_input!T50</f>
        <v/>
      </c>
      <c r="U50" s="39">
        <f>FRA_input!U50</f>
        <v/>
      </c>
      <c r="V50" s="39">
        <f>FRA_input!V50</f>
        <v/>
      </c>
      <c r="W50" s="39">
        <f>FRA_input!W50</f>
        <v/>
      </c>
      <c r="X50" s="39">
        <f>FRA_input!X50</f>
        <v/>
      </c>
      <c r="Y50" s="39">
        <f>FRA_input!Y50</f>
        <v/>
      </c>
      <c r="Z50" s="39">
        <f>FRA_input!Z50</f>
        <v/>
      </c>
      <c r="AA50" s="39">
        <f>FRA_input!AA50</f>
        <v/>
      </c>
      <c r="AB50" s="39">
        <f>FRA_input!AB50</f>
        <v/>
      </c>
      <c r="AC50" s="39">
        <f>FRA_input!AC50</f>
        <v/>
      </c>
    </row>
    <row r="51" ht="14.25" customHeight="1" s="184">
      <c r="A51" s="39" t="inlineStr">
        <is>
          <t>T2</t>
        </is>
      </c>
      <c r="B51" s="39" t="n"/>
      <c r="C51" s="39" t="n"/>
      <c r="D51" s="39" t="n"/>
      <c r="E51" s="39" t="n"/>
      <c r="F51" s="39" t="n"/>
      <c r="G51" s="39" t="n"/>
      <c r="H51" s="39" t="n"/>
      <c r="I51" s="39" t="n"/>
      <c r="J51" s="39" t="n"/>
      <c r="K51" s="39" t="n"/>
      <c r="L51" s="39" t="n"/>
      <c r="M51" s="39" t="n"/>
      <c r="N51" s="39" t="n"/>
      <c r="O51" s="39" t="n"/>
      <c r="P51" s="39" t="n"/>
      <c r="Q51" s="39" t="n"/>
      <c r="R51" s="39" t="n"/>
      <c r="S51" s="39" t="n"/>
      <c r="T51" s="39" t="n"/>
      <c r="U51" s="39" t="n"/>
      <c r="V51" s="39" t="n"/>
      <c r="W51" s="39" t="n"/>
      <c r="X51" s="39" t="n"/>
      <c r="Y51" s="39" t="n"/>
      <c r="Z51" s="39" t="n"/>
      <c r="AA51" s="39" t="n"/>
      <c r="AB51" s="39" t="n"/>
      <c r="AC51" s="39" t="n"/>
    </row>
    <row r="52" ht="14.25" customHeight="1" s="184">
      <c r="A52" s="39" t="n"/>
      <c r="B52" s="39" t="inlineStr">
        <is>
          <t>S2</t>
        </is>
      </c>
      <c r="C52" s="39" t="n"/>
      <c r="D52" s="39" t="n"/>
      <c r="E52" s="39" t="n"/>
      <c r="F52" s="39" t="n"/>
      <c r="G52" s="39" t="n"/>
      <c r="H52" s="39" t="n"/>
      <c r="I52" s="39" t="n"/>
      <c r="J52" s="39" t="n"/>
      <c r="K52" s="39" t="n"/>
      <c r="L52" s="39" t="n"/>
      <c r="M52" s="39" t="n"/>
      <c r="N52" s="39" t="n"/>
      <c r="O52" s="39" t="n"/>
      <c r="P52" s="39" t="n"/>
      <c r="Q52" s="39" t="n"/>
      <c r="R52" s="39" t="n"/>
      <c r="S52" s="39" t="n"/>
      <c r="T52" s="39" t="n"/>
      <c r="U52" s="39" t="n"/>
      <c r="V52" s="39" t="n"/>
      <c r="W52" s="39" t="n"/>
      <c r="X52" s="39" t="n"/>
      <c r="Y52" s="39" t="n"/>
      <c r="Z52" s="39" t="n"/>
      <c r="AA52" s="39" t="n"/>
      <c r="AB52" s="39" t="n"/>
      <c r="AC52" s="39" t="n"/>
    </row>
    <row r="53" ht="14.25" customHeight="1" s="184">
      <c r="A53" s="39" t="n"/>
      <c r="B53" s="39" t="n"/>
      <c r="C53" s="39" t="inlineStr">
        <is>
          <t>IKU 3</t>
        </is>
      </c>
      <c r="D53" s="39" t="n"/>
      <c r="E53" s="39">
        <f>FRA_input!E53</f>
        <v/>
      </c>
      <c r="F53" s="39">
        <f>FRA_input!F53</f>
        <v/>
      </c>
      <c r="G53" s="39">
        <f>FRA_input!G53</f>
        <v/>
      </c>
      <c r="H53" s="39">
        <f>FRA_input!H53</f>
        <v/>
      </c>
      <c r="I53" s="39">
        <f>FRA_input!I53</f>
        <v/>
      </c>
      <c r="J53" s="39">
        <f>FRA_input!J53</f>
        <v/>
      </c>
      <c r="K53" s="39">
        <f>FRA_input!K53</f>
        <v/>
      </c>
      <c r="L53" s="39">
        <f>FRA_input!L53</f>
        <v/>
      </c>
      <c r="M53" s="39">
        <f>FRA_input!M53</f>
        <v/>
      </c>
      <c r="N53" s="39">
        <f>FRA_input!N53</f>
        <v/>
      </c>
      <c r="O53" s="39">
        <f>FRA_input!O53</f>
        <v/>
      </c>
      <c r="P53" s="39">
        <f>FRA_input!P53</f>
        <v/>
      </c>
      <c r="Q53" s="39">
        <f>FRA_input!Q53</f>
        <v/>
      </c>
      <c r="R53" s="39">
        <f>FRA_input!R53</f>
        <v/>
      </c>
      <c r="S53" s="39">
        <f>FRA_input!S53</f>
        <v/>
      </c>
      <c r="T53" s="39">
        <f>FRA_input!T53</f>
        <v/>
      </c>
      <c r="U53" s="39">
        <f>FRA_input!U53</f>
        <v/>
      </c>
      <c r="V53" s="39">
        <f>FRA_input!V53</f>
        <v/>
      </c>
      <c r="W53" s="39">
        <f>FRA_input!W53</f>
        <v/>
      </c>
      <c r="X53" s="39">
        <f>FRA_input!X53</f>
        <v/>
      </c>
      <c r="Y53" s="39">
        <f>FRA_input!Y53</f>
        <v/>
      </c>
      <c r="Z53" s="39">
        <f>FRA_input!Z53</f>
        <v/>
      </c>
      <c r="AA53" s="39">
        <f>FRA_input!AA53</f>
        <v/>
      </c>
      <c r="AB53" s="39">
        <f>FRA_input!AB53</f>
        <v/>
      </c>
      <c r="AC53" s="39">
        <f>FRA_input!AC53</f>
        <v/>
      </c>
    </row>
    <row r="54" ht="14.25" customHeight="1" s="184">
      <c r="A54" s="39" t="n"/>
      <c r="B54" s="39" t="n"/>
      <c r="C54" s="39" t="n"/>
      <c r="D54" s="39" t="inlineStr">
        <is>
          <t>Proksi 3.1</t>
        </is>
      </c>
      <c r="E54" s="39">
        <f>FRA_input!E54</f>
        <v/>
      </c>
      <c r="F54" s="39">
        <f>FRA_input!F54</f>
        <v/>
      </c>
      <c r="G54" s="39">
        <f>FRA_input!G54</f>
        <v/>
      </c>
      <c r="H54" s="39">
        <f>FRA_input!H54</f>
        <v/>
      </c>
      <c r="I54" s="39">
        <f>FRA_input!I54</f>
        <v/>
      </c>
      <c r="J54" s="39">
        <f>FRA_input!J54</f>
        <v/>
      </c>
      <c r="K54" s="39">
        <f>FRA_input!K54</f>
        <v/>
      </c>
      <c r="L54" s="39">
        <f>FRA_input!L54</f>
        <v/>
      </c>
      <c r="M54" s="39">
        <f>FRA_input!M54</f>
        <v/>
      </c>
      <c r="N54" s="39">
        <f>FRA_input!N54</f>
        <v/>
      </c>
      <c r="O54" s="39">
        <f>FRA_input!O54</f>
        <v/>
      </c>
      <c r="P54" s="39">
        <f>FRA_input!P54</f>
        <v/>
      </c>
      <c r="Q54" s="39">
        <f>FRA_input!Q54</f>
        <v/>
      </c>
      <c r="R54" s="39">
        <f>FRA_input!R54</f>
        <v/>
      </c>
      <c r="S54" s="39">
        <f>FRA_input!S54</f>
        <v/>
      </c>
      <c r="T54" s="39">
        <f>FRA_input!T54</f>
        <v/>
      </c>
      <c r="U54" s="39">
        <f>FRA_input!U54</f>
        <v/>
      </c>
      <c r="V54" s="39">
        <f>FRA_input!V54</f>
        <v/>
      </c>
      <c r="W54" s="39">
        <f>FRA_input!W54</f>
        <v/>
      </c>
      <c r="X54" s="39">
        <f>FRA_input!X54</f>
        <v/>
      </c>
      <c r="Y54" s="39">
        <f>FRA_input!Y54</f>
        <v/>
      </c>
      <c r="Z54" s="39">
        <f>FRA_input!Z54</f>
        <v/>
      </c>
      <c r="AA54" s="39">
        <f>FRA_input!AA54</f>
        <v/>
      </c>
      <c r="AB54" s="39">
        <f>FRA_input!AB54</f>
        <v/>
      </c>
      <c r="AC54" s="39">
        <f>FRA_input!AC54</f>
        <v/>
      </c>
    </row>
    <row r="55" ht="14.25" customHeight="1" s="184">
      <c r="A55" s="39" t="n"/>
      <c r="B55" s="39" t="n"/>
      <c r="C55" s="39" t="n"/>
      <c r="D55" s="39" t="inlineStr">
        <is>
          <t>Proksi 3.2</t>
        </is>
      </c>
      <c r="E55" s="39">
        <f>FRA_input!E55</f>
        <v/>
      </c>
      <c r="F55" s="39">
        <f>FRA_input!F55</f>
        <v/>
      </c>
      <c r="G55" s="39">
        <f>FRA_input!G55</f>
        <v/>
      </c>
      <c r="H55" s="39">
        <f>FRA_input!H55</f>
        <v/>
      </c>
      <c r="I55" s="39">
        <f>FRA_input!I55</f>
        <v/>
      </c>
      <c r="J55" s="39">
        <f>FRA_input!J55</f>
        <v/>
      </c>
      <c r="K55" s="39">
        <f>FRA_input!K55</f>
        <v/>
      </c>
      <c r="L55" s="39">
        <f>FRA_input!L55</f>
        <v/>
      </c>
      <c r="M55" s="39">
        <f>FRA_input!M55</f>
        <v/>
      </c>
      <c r="N55" s="39">
        <f>FRA_input!N55</f>
        <v/>
      </c>
      <c r="O55" s="39">
        <f>FRA_input!O55</f>
        <v/>
      </c>
      <c r="P55" s="39">
        <f>FRA_input!P55</f>
        <v/>
      </c>
      <c r="Q55" s="39">
        <f>FRA_input!Q55</f>
        <v/>
      </c>
      <c r="R55" s="39">
        <f>FRA_input!R55</f>
        <v/>
      </c>
      <c r="S55" s="39">
        <f>FRA_input!S55</f>
        <v/>
      </c>
      <c r="T55" s="39">
        <f>FRA_input!T55</f>
        <v/>
      </c>
      <c r="U55" s="39">
        <f>FRA_input!U55</f>
        <v/>
      </c>
      <c r="V55" s="39">
        <f>FRA_input!V55</f>
        <v/>
      </c>
      <c r="W55" s="39">
        <f>FRA_input!W55</f>
        <v/>
      </c>
      <c r="X55" s="39">
        <f>FRA_input!X55</f>
        <v/>
      </c>
      <c r="Y55" s="39">
        <f>FRA_input!Y55</f>
        <v/>
      </c>
      <c r="Z55" s="39">
        <f>FRA_input!Z55</f>
        <v/>
      </c>
      <c r="AA55" s="39">
        <f>FRA_input!AA55</f>
        <v/>
      </c>
      <c r="AB55" s="39">
        <f>FRA_input!AB55</f>
        <v/>
      </c>
      <c r="AC55" s="39">
        <f>FRA_input!AC55</f>
        <v/>
      </c>
    </row>
    <row r="56" ht="14.25" customHeight="1" s="184">
      <c r="A56" s="39" t="n"/>
      <c r="B56" s="39" t="n"/>
      <c r="C56" s="39" t="n"/>
      <c r="D56" s="39" t="inlineStr">
        <is>
          <t>Proksi 4.3</t>
        </is>
      </c>
      <c r="E56" s="39">
        <f>FRA_input!E56</f>
        <v/>
      </c>
      <c r="F56" s="39">
        <f>FRA_input!F56</f>
        <v/>
      </c>
      <c r="G56" s="39">
        <f>FRA_input!G56</f>
        <v/>
      </c>
      <c r="H56" s="39">
        <f>FRA_input!H56</f>
        <v/>
      </c>
      <c r="I56" s="39">
        <f>FRA_input!I56</f>
        <v/>
      </c>
      <c r="J56" s="39">
        <f>FRA_input!J56</f>
        <v/>
      </c>
      <c r="K56" s="39">
        <f>FRA_input!K56</f>
        <v/>
      </c>
      <c r="L56" s="39">
        <f>FRA_input!L56</f>
        <v/>
      </c>
      <c r="M56" s="39">
        <f>FRA_input!M56</f>
        <v/>
      </c>
      <c r="N56" s="39">
        <f>FRA_input!N56</f>
        <v/>
      </c>
      <c r="O56" s="39">
        <f>FRA_input!O56</f>
        <v/>
      </c>
      <c r="P56" s="39">
        <f>FRA_input!P56</f>
        <v/>
      </c>
      <c r="Q56" s="39">
        <f>FRA_input!Q56</f>
        <v/>
      </c>
      <c r="R56" s="39">
        <f>FRA_input!R56</f>
        <v/>
      </c>
      <c r="S56" s="39">
        <f>FRA_input!S56</f>
        <v/>
      </c>
      <c r="T56" s="39">
        <f>FRA_input!T56</f>
        <v/>
      </c>
      <c r="U56" s="39">
        <f>FRA_input!U56</f>
        <v/>
      </c>
      <c r="V56" s="39">
        <f>FRA_input!V56</f>
        <v/>
      </c>
      <c r="W56" s="39">
        <f>FRA_input!W56</f>
        <v/>
      </c>
      <c r="X56" s="39">
        <f>FRA_input!X56</f>
        <v/>
      </c>
      <c r="Y56" s="39">
        <f>FRA_input!Y56</f>
        <v/>
      </c>
      <c r="Z56" s="39">
        <f>FRA_input!Z56</f>
        <v/>
      </c>
      <c r="AA56" s="39">
        <f>FRA_input!AA56</f>
        <v/>
      </c>
      <c r="AB56" s="39">
        <f>FRA_input!AB56</f>
        <v/>
      </c>
      <c r="AC56" s="39">
        <f>FRA_input!AC56</f>
        <v/>
      </c>
    </row>
    <row r="57" ht="14.25" customHeight="1" s="184">
      <c r="A57" s="39" t="n"/>
      <c r="B57" s="39" t="n"/>
      <c r="C57" s="39" t="inlineStr">
        <is>
          <t>IKU 4</t>
        </is>
      </c>
      <c r="D57" s="39" t="n"/>
      <c r="E57" s="39">
        <f>FRA_input!E57</f>
        <v/>
      </c>
      <c r="F57" s="39">
        <f>FRA_input!F57</f>
        <v/>
      </c>
      <c r="G57" s="39">
        <f>FRA_input!G57</f>
        <v/>
      </c>
      <c r="H57" s="39">
        <f>FRA_input!H57</f>
        <v/>
      </c>
      <c r="I57" s="39">
        <f>FRA_input!I57</f>
        <v/>
      </c>
      <c r="J57" s="39">
        <f>FRA_input!J57</f>
        <v/>
      </c>
      <c r="K57" s="39">
        <f>FRA_input!K57</f>
        <v/>
      </c>
      <c r="L57" s="39">
        <f>FRA_input!L57</f>
        <v/>
      </c>
      <c r="M57" s="39">
        <f>FRA_input!M57</f>
        <v/>
      </c>
      <c r="N57" s="39">
        <f>FRA_input!N57</f>
        <v/>
      </c>
      <c r="O57" s="39">
        <f>FRA_input!O57</f>
        <v/>
      </c>
      <c r="P57" s="39">
        <f>FRA_input!P57</f>
        <v/>
      </c>
      <c r="Q57" s="39">
        <f>FRA_input!Q57</f>
        <v/>
      </c>
      <c r="R57" s="39">
        <f>FRA_input!R57</f>
        <v/>
      </c>
      <c r="S57" s="39">
        <f>FRA_input!S57</f>
        <v/>
      </c>
      <c r="T57" s="39">
        <f>FRA_input!T57</f>
        <v/>
      </c>
      <c r="U57" s="39">
        <f>FRA_input!U57</f>
        <v/>
      </c>
      <c r="V57" s="39">
        <f>FRA_input!V57</f>
        <v/>
      </c>
      <c r="W57" s="39">
        <f>FRA_input!W57</f>
        <v/>
      </c>
      <c r="X57" s="39">
        <f>FRA_input!X57</f>
        <v/>
      </c>
      <c r="Y57" s="39">
        <f>FRA_input!Y57</f>
        <v/>
      </c>
      <c r="Z57" s="39">
        <f>FRA_input!Z57</f>
        <v/>
      </c>
      <c r="AA57" s="39">
        <f>FRA_input!AA57</f>
        <v/>
      </c>
      <c r="AB57" s="39">
        <f>FRA_input!AB57</f>
        <v/>
      </c>
      <c r="AC57" s="39">
        <f>FRA_input!AC57</f>
        <v/>
      </c>
    </row>
    <row r="58" ht="14.25" customHeight="1" s="184">
      <c r="A58" s="39" t="n"/>
      <c r="B58" s="39" t="n"/>
      <c r="C58" s="39" t="n"/>
      <c r="D58" s="39" t="inlineStr">
        <is>
          <t>Proksi 5.1</t>
        </is>
      </c>
      <c r="E58" s="39">
        <f>FRA_input!E58</f>
        <v/>
      </c>
      <c r="F58" s="39">
        <f>FRA_input!F58</f>
        <v/>
      </c>
      <c r="G58" s="39">
        <f>FRA_input!G58</f>
        <v/>
      </c>
      <c r="H58" s="39">
        <f>FRA_input!H58</f>
        <v/>
      </c>
      <c r="I58" s="39">
        <f>FRA_input!I58</f>
        <v/>
      </c>
      <c r="J58" s="39">
        <f>FRA_input!J58</f>
        <v/>
      </c>
      <c r="K58" s="39">
        <f>FRA_input!K58</f>
        <v/>
      </c>
      <c r="L58" s="39">
        <f>FRA_input!L58</f>
        <v/>
      </c>
      <c r="M58" s="39">
        <f>FRA_input!M58</f>
        <v/>
      </c>
      <c r="N58" s="39">
        <f>FRA_input!N58</f>
        <v/>
      </c>
      <c r="O58" s="39">
        <f>FRA_input!O58</f>
        <v/>
      </c>
      <c r="P58" s="39">
        <f>FRA_input!P58</f>
        <v/>
      </c>
      <c r="Q58" s="39">
        <f>FRA_input!Q58</f>
        <v/>
      </c>
      <c r="R58" s="39">
        <f>FRA_input!R58</f>
        <v/>
      </c>
      <c r="S58" s="39">
        <f>FRA_input!S58</f>
        <v/>
      </c>
      <c r="T58" s="39">
        <f>FRA_input!T58</f>
        <v/>
      </c>
      <c r="U58" s="39">
        <f>FRA_input!U58</f>
        <v/>
      </c>
      <c r="V58" s="39">
        <f>FRA_input!V58</f>
        <v/>
      </c>
      <c r="W58" s="39">
        <f>FRA_input!W58</f>
        <v/>
      </c>
      <c r="X58" s="39">
        <f>FRA_input!X58</f>
        <v/>
      </c>
      <c r="Y58" s="39">
        <f>FRA_input!Y58</f>
        <v/>
      </c>
      <c r="Z58" s="39">
        <f>FRA_input!Z58</f>
        <v/>
      </c>
      <c r="AA58" s="39">
        <f>FRA_input!AA58</f>
        <v/>
      </c>
      <c r="AB58" s="39">
        <f>FRA_input!AB58</f>
        <v/>
      </c>
      <c r="AC58" s="39">
        <f>FRA_input!AC58</f>
        <v/>
      </c>
    </row>
    <row r="59" ht="14.25" customHeight="1" s="184">
      <c r="A59" s="39" t="n"/>
      <c r="B59" s="39" t="n"/>
      <c r="C59" s="39" t="n"/>
      <c r="D59" s="39" t="inlineStr">
        <is>
          <t>Proksi 5.2</t>
        </is>
      </c>
      <c r="E59" s="39">
        <f>FRA_input!E59</f>
        <v/>
      </c>
      <c r="F59" s="39">
        <f>FRA_input!F59</f>
        <v/>
      </c>
      <c r="G59" s="39">
        <f>FRA_input!G59</f>
        <v/>
      </c>
      <c r="H59" s="39">
        <f>FRA_input!H59</f>
        <v/>
      </c>
      <c r="I59" s="39">
        <f>FRA_input!I59</f>
        <v/>
      </c>
      <c r="J59" s="39">
        <f>FRA_input!J59</f>
        <v/>
      </c>
      <c r="K59" s="39">
        <f>FRA_input!K59</f>
        <v/>
      </c>
      <c r="L59" s="39">
        <f>FRA_input!L59</f>
        <v/>
      </c>
      <c r="M59" s="39">
        <f>FRA_input!M59</f>
        <v/>
      </c>
      <c r="N59" s="39">
        <f>FRA_input!N59</f>
        <v/>
      </c>
      <c r="O59" s="39">
        <f>FRA_input!O59</f>
        <v/>
      </c>
      <c r="P59" s="39">
        <f>FRA_input!P59</f>
        <v/>
      </c>
      <c r="Q59" s="39">
        <f>FRA_input!Q59</f>
        <v/>
      </c>
      <c r="R59" s="39">
        <f>FRA_input!R59</f>
        <v/>
      </c>
      <c r="S59" s="39">
        <f>FRA_input!S59</f>
        <v/>
      </c>
      <c r="T59" s="39">
        <f>FRA_input!T59</f>
        <v/>
      </c>
      <c r="U59" s="39">
        <f>FRA_input!U59</f>
        <v/>
      </c>
      <c r="V59" s="39">
        <f>FRA_input!V59</f>
        <v/>
      </c>
      <c r="W59" s="39">
        <f>FRA_input!W59</f>
        <v/>
      </c>
      <c r="X59" s="39">
        <f>FRA_input!X59</f>
        <v/>
      </c>
      <c r="Y59" s="39">
        <f>FRA_input!Y59</f>
        <v/>
      </c>
      <c r="Z59" s="39">
        <f>FRA_input!Z59</f>
        <v/>
      </c>
      <c r="AA59" s="39">
        <f>FRA_input!AA59</f>
        <v/>
      </c>
      <c r="AB59" s="39">
        <f>FRA_input!AB59</f>
        <v/>
      </c>
      <c r="AC59" s="39">
        <f>FRA_input!AC59</f>
        <v/>
      </c>
    </row>
    <row r="60" ht="14.25" customHeight="1" s="184">
      <c r="A60" s="39" t="n"/>
      <c r="B60" s="39" t="n"/>
      <c r="C60" s="39" t="n"/>
      <c r="D60" s="39" t="inlineStr">
        <is>
          <t>Proksi 2.3</t>
        </is>
      </c>
      <c r="E60" s="39">
        <f>FRA_input!E60</f>
        <v/>
      </c>
      <c r="F60" s="39">
        <f>FRA_input!F60</f>
        <v/>
      </c>
      <c r="G60" s="39">
        <f>FRA_input!G60</f>
        <v/>
      </c>
      <c r="H60" s="39">
        <f>FRA_input!H60</f>
        <v/>
      </c>
      <c r="I60" s="39">
        <f>FRA_input!I60</f>
        <v/>
      </c>
      <c r="J60" s="39">
        <f>FRA_input!J60</f>
        <v/>
      </c>
      <c r="K60" s="39">
        <f>FRA_input!K60</f>
        <v/>
      </c>
      <c r="L60" s="39">
        <f>FRA_input!L60</f>
        <v/>
      </c>
      <c r="M60" s="39">
        <f>FRA_input!M60</f>
        <v/>
      </c>
      <c r="N60" s="39">
        <f>FRA_input!N60</f>
        <v/>
      </c>
      <c r="O60" s="39">
        <f>FRA_input!O60</f>
        <v/>
      </c>
      <c r="P60" s="39">
        <f>FRA_input!P60</f>
        <v/>
      </c>
      <c r="Q60" s="39">
        <f>FRA_input!Q60</f>
        <v/>
      </c>
      <c r="R60" s="39">
        <f>FRA_input!R60</f>
        <v/>
      </c>
      <c r="S60" s="39">
        <f>FRA_input!S60</f>
        <v/>
      </c>
      <c r="T60" s="39">
        <f>FRA_input!T60</f>
        <v/>
      </c>
      <c r="U60" s="39">
        <f>FRA_input!U60</f>
        <v/>
      </c>
      <c r="V60" s="39">
        <f>FRA_input!V60</f>
        <v/>
      </c>
      <c r="W60" s="39">
        <f>FRA_input!W60</f>
        <v/>
      </c>
      <c r="X60" s="39">
        <f>FRA_input!X60</f>
        <v/>
      </c>
      <c r="Y60" s="39">
        <f>FRA_input!Y60</f>
        <v/>
      </c>
      <c r="Z60" s="39">
        <f>FRA_input!Z60</f>
        <v/>
      </c>
      <c r="AA60" s="39">
        <f>FRA_input!AA60</f>
        <v/>
      </c>
      <c r="AB60" s="39">
        <f>FRA_input!AB60</f>
        <v/>
      </c>
      <c r="AC60" s="39">
        <f>FRA_input!AC60</f>
        <v/>
      </c>
    </row>
    <row r="61" ht="14.25" customHeight="1" s="184">
      <c r="A61" s="39" t="n"/>
      <c r="B61" s="39" t="n"/>
      <c r="C61" s="39" t="n"/>
      <c r="D61" s="39" t="n"/>
      <c r="E61" s="39" t="n"/>
      <c r="F61" s="39" t="n"/>
      <c r="G61" s="39" t="n"/>
      <c r="H61" s="39" t="n"/>
      <c r="I61" s="39" t="n"/>
      <c r="J61" s="39" t="n"/>
      <c r="K61" s="39" t="n"/>
      <c r="L61" s="39" t="n"/>
      <c r="M61" s="39" t="n"/>
      <c r="N61" s="39" t="n"/>
      <c r="O61" s="39" t="n"/>
      <c r="P61" s="39" t="n"/>
      <c r="Q61" s="39" t="n"/>
      <c r="R61" s="39" t="n"/>
      <c r="S61" s="39" t="n"/>
      <c r="T61" s="39" t="n"/>
      <c r="U61" s="39" t="n"/>
      <c r="V61" s="39" t="n"/>
      <c r="W61" s="39" t="n"/>
      <c r="X61" s="39" t="n"/>
      <c r="Y61" s="39" t="n"/>
      <c r="Z61" s="39" t="n"/>
      <c r="AA61" s="39" t="n"/>
      <c r="AB61" s="39" t="n"/>
      <c r="AC61" s="39" t="n"/>
    </row>
    <row r="62" ht="14.25" customHeight="1" s="184">
      <c r="A62" s="41" t="n"/>
      <c r="B62" s="41" t="n"/>
      <c r="C62" s="41" t="n"/>
      <c r="D62" s="218" t="inlineStr">
        <is>
          <t>REPORT CAPAIAN KINERJA</t>
        </is>
      </c>
      <c r="E62" s="41" t="n"/>
      <c r="F62" s="41" t="n"/>
      <c r="G62" s="41" t="n"/>
      <c r="H62" s="41" t="n"/>
      <c r="I62" s="41" t="n"/>
      <c r="J62" s="41" t="n"/>
      <c r="K62" s="41" t="n"/>
      <c r="L62" s="41" t="n"/>
      <c r="M62" s="41" t="n"/>
      <c r="N62" s="42" t="n"/>
      <c r="O62" s="43" t="inlineStr">
        <is>
          <t>Capaian Proksi IKU 1</t>
        </is>
      </c>
      <c r="P62" s="47" t="inlineStr">
        <is>
          <t>rata2 capaian proksi IKU 1</t>
        </is>
      </c>
      <c r="Q62" s="47" t="n"/>
      <c r="R62" s="47" t="n"/>
      <c r="S62" s="47" t="n"/>
      <c r="T62" s="47" t="n"/>
      <c r="U62" s="47" t="n"/>
      <c r="V62" s="47" t="n"/>
      <c r="W62" s="47" t="n"/>
      <c r="X62" s="41" t="n"/>
      <c r="Y62" s="41" t="n"/>
      <c r="Z62" s="41" t="n"/>
      <c r="AA62" s="41" t="n"/>
      <c r="AB62" s="41" t="n"/>
      <c r="AC62" s="41" t="n"/>
    </row>
    <row r="63" ht="14.25" customHeight="1" s="184">
      <c r="A63" s="41" t="n"/>
      <c r="B63" s="41" t="n"/>
      <c r="C63" s="41" t="n"/>
      <c r="D63" s="205" t="n"/>
      <c r="E63" s="41" t="n"/>
      <c r="F63" s="41" t="n"/>
      <c r="G63" s="41" t="n"/>
      <c r="H63" s="41" t="n"/>
      <c r="I63" s="41" t="n"/>
      <c r="J63" s="41" t="n"/>
      <c r="K63" s="41" t="n"/>
      <c r="L63" s="41" t="n"/>
      <c r="M63" s="41" t="n"/>
      <c r="N63" s="42" t="n"/>
      <c r="O63" s="43" t="inlineStr">
        <is>
          <t>Capaian Proksi IKU 2</t>
        </is>
      </c>
      <c r="P63" s="47" t="inlineStr">
        <is>
          <t>rata2 capaian proksi IKU 2</t>
        </is>
      </c>
      <c r="Q63" s="47" t="n"/>
      <c r="R63" s="47" t="n"/>
      <c r="S63" s="47" t="n"/>
      <c r="T63" s="47" t="n"/>
      <c r="U63" s="47" t="n"/>
      <c r="V63" s="47" t="n"/>
      <c r="W63" s="47" t="n"/>
      <c r="X63" s="41" t="n"/>
      <c r="Y63" s="41" t="n"/>
      <c r="Z63" s="41" t="n"/>
      <c r="AA63" s="41" t="n"/>
      <c r="AB63" s="41" t="n"/>
      <c r="AC63" s="41" t="n"/>
    </row>
    <row r="64" ht="14.25" customHeight="1" s="184">
      <c r="A64" s="41" t="n"/>
      <c r="B64" s="41" t="n"/>
      <c r="C64" s="41" t="n"/>
      <c r="D64" s="205" t="n"/>
      <c r="E64" s="41" t="n"/>
      <c r="F64" s="41" t="n"/>
      <c r="G64" s="41" t="n"/>
      <c r="H64" s="41" t="n"/>
      <c r="I64" s="41" t="n"/>
      <c r="J64" s="41" t="n"/>
      <c r="K64" s="41" t="n"/>
      <c r="L64" s="41" t="n"/>
      <c r="M64" s="41" t="n"/>
      <c r="N64" s="42" t="n"/>
      <c r="O64" s="43" t="inlineStr">
        <is>
          <t>Capaian Proksi IKU 3</t>
        </is>
      </c>
      <c r="P64" s="47" t="inlineStr">
        <is>
          <t>rata2 capaian proksi IKU 3</t>
        </is>
      </c>
      <c r="Q64" s="47" t="n"/>
      <c r="R64" s="47" t="n"/>
      <c r="S64" s="47" t="n"/>
      <c r="T64" s="47" t="n"/>
      <c r="U64" s="47" t="n"/>
      <c r="V64" s="47" t="n"/>
      <c r="W64" s="47" t="n"/>
      <c r="X64" s="41" t="n"/>
      <c r="Y64" s="41" t="n"/>
      <c r="Z64" s="41" t="n"/>
      <c r="AA64" s="41" t="n"/>
      <c r="AB64" s="41" t="n"/>
      <c r="AC64" s="41" t="n"/>
    </row>
    <row r="65" ht="14.25" customHeight="1" s="184">
      <c r="A65" s="41" t="n"/>
      <c r="B65" s="41" t="n"/>
      <c r="C65" s="41" t="n"/>
      <c r="D65" s="205" t="n"/>
      <c r="E65" s="41" t="n"/>
      <c r="F65" s="41" t="n"/>
      <c r="G65" s="41" t="n"/>
      <c r="H65" s="41" t="n"/>
      <c r="I65" s="41" t="n"/>
      <c r="J65" s="41" t="n"/>
      <c r="K65" s="41" t="n"/>
      <c r="L65" s="41" t="n"/>
      <c r="M65" s="41" t="n"/>
      <c r="N65" s="42" t="n"/>
      <c r="O65" s="43" t="inlineStr">
        <is>
          <t>Capaian Proksi IKU 4</t>
        </is>
      </c>
      <c r="P65" s="47" t="inlineStr">
        <is>
          <t>rata2 capaian proksi IKU 4</t>
        </is>
      </c>
      <c r="Q65" s="47" t="n"/>
      <c r="R65" s="47" t="n"/>
      <c r="S65" s="47" t="n"/>
      <c r="T65" s="47" t="n"/>
      <c r="U65" s="47" t="n"/>
      <c r="V65" s="47" t="n"/>
      <c r="W65" s="47" t="n"/>
      <c r="X65" s="41" t="n"/>
      <c r="Y65" s="41" t="n"/>
      <c r="Z65" s="41" t="n"/>
      <c r="AA65" s="41" t="n"/>
      <c r="AB65" s="41" t="n"/>
      <c r="AC65" s="41" t="n"/>
    </row>
    <row r="66" ht="14.25" customHeight="1" s="184">
      <c r="A66" s="41" t="n"/>
      <c r="B66" s="41" t="n"/>
      <c r="C66" s="41" t="n"/>
      <c r="D66" s="205" t="n"/>
      <c r="E66" s="41" t="n"/>
      <c r="F66" s="41" t="n"/>
      <c r="G66" s="41" t="n"/>
      <c r="H66" s="41" t="n"/>
      <c r="I66" s="41" t="n"/>
      <c r="J66" s="41" t="n"/>
      <c r="K66" s="41" t="n"/>
      <c r="L66" s="41" t="n"/>
      <c r="M66" s="41" t="n"/>
      <c r="N66" s="42" t="n"/>
      <c r="O66" s="43" t="inlineStr">
        <is>
          <t>Capaian IKU 1</t>
        </is>
      </c>
      <c r="P66" s="47" t="n"/>
      <c r="Q66" s="47" t="n"/>
      <c r="R66" s="47" t="n"/>
      <c r="S66" s="47" t="n"/>
      <c r="T66" s="47" t="n"/>
      <c r="U66" s="47" t="n"/>
      <c r="V66" s="47" t="n"/>
      <c r="W66" s="47" t="n"/>
      <c r="X66" s="41" t="n"/>
      <c r="Y66" s="41" t="n"/>
      <c r="Z66" s="41" t="n"/>
      <c r="AA66" s="41" t="n"/>
      <c r="AB66" s="41" t="n"/>
      <c r="AC66" s="41" t="n"/>
    </row>
    <row r="67" ht="14.25" customHeight="1" s="184">
      <c r="A67" s="41" t="n"/>
      <c r="B67" s="41" t="n"/>
      <c r="C67" s="41" t="n"/>
      <c r="D67" s="205" t="n"/>
      <c r="E67" s="41" t="n"/>
      <c r="F67" s="41" t="n"/>
      <c r="G67" s="41" t="n"/>
      <c r="H67" s="41" t="n"/>
      <c r="I67" s="41" t="n"/>
      <c r="J67" s="41" t="n"/>
      <c r="K67" s="41" t="n"/>
      <c r="L67" s="41" t="n"/>
      <c r="M67" s="41" t="n"/>
      <c r="N67" s="42" t="n"/>
      <c r="O67" s="43" t="inlineStr">
        <is>
          <t>Capaian IKU 2</t>
        </is>
      </c>
      <c r="P67" s="47" t="n"/>
      <c r="Q67" s="47" t="n"/>
      <c r="R67" s="47" t="n"/>
      <c r="S67" s="47" t="n"/>
      <c r="T67" s="47" t="n"/>
      <c r="U67" s="47" t="n"/>
      <c r="V67" s="47" t="n"/>
      <c r="W67" s="47" t="n"/>
      <c r="X67" s="41" t="n"/>
      <c r="Y67" s="41" t="n"/>
      <c r="Z67" s="41" t="n"/>
      <c r="AA67" s="41" t="n"/>
      <c r="AB67" s="41" t="n"/>
      <c r="AC67" s="41" t="n"/>
    </row>
    <row r="68" ht="14.25" customHeight="1" s="184">
      <c r="A68" s="41" t="n"/>
      <c r="B68" s="41" t="n"/>
      <c r="C68" s="41" t="n"/>
      <c r="D68" s="205" t="n"/>
      <c r="E68" s="41" t="n"/>
      <c r="F68" s="41" t="n"/>
      <c r="G68" s="41" t="n"/>
      <c r="H68" s="41" t="n"/>
      <c r="I68" s="41" t="n"/>
      <c r="J68" s="41" t="n"/>
      <c r="K68" s="41" t="n"/>
      <c r="L68" s="41" t="n"/>
      <c r="M68" s="41" t="n"/>
      <c r="N68" s="42" t="n"/>
      <c r="O68" s="43" t="inlineStr">
        <is>
          <t>Capaian IKU 3</t>
        </is>
      </c>
      <c r="P68" s="47" t="n"/>
      <c r="Q68" s="47" t="n"/>
      <c r="R68" s="47" t="n"/>
      <c r="S68" s="47" t="n"/>
      <c r="T68" s="47" t="n"/>
      <c r="U68" s="47" t="n"/>
      <c r="V68" s="47" t="n"/>
      <c r="W68" s="47" t="n"/>
      <c r="X68" s="41" t="n"/>
      <c r="Y68" s="41" t="n"/>
      <c r="Z68" s="41" t="n"/>
      <c r="AA68" s="41" t="n"/>
      <c r="AB68" s="41" t="n"/>
      <c r="AC68" s="41" t="n"/>
    </row>
    <row r="69" ht="14.25" customHeight="1" s="184">
      <c r="A69" s="41" t="n"/>
      <c r="B69" s="41" t="n"/>
      <c r="C69" s="41" t="n"/>
      <c r="D69" s="205" t="n"/>
      <c r="E69" s="41" t="n"/>
      <c r="F69" s="41" t="n"/>
      <c r="G69" s="41" t="n"/>
      <c r="H69" s="41" t="n"/>
      <c r="I69" s="41" t="n"/>
      <c r="J69" s="41" t="n"/>
      <c r="K69" s="41" t="n"/>
      <c r="L69" s="41" t="n"/>
      <c r="M69" s="41" t="n"/>
      <c r="N69" s="42" t="n"/>
      <c r="O69" s="43" t="inlineStr">
        <is>
          <t>Capaian IKU 4</t>
        </is>
      </c>
      <c r="P69" s="47" t="n"/>
      <c r="Q69" s="47" t="n"/>
      <c r="R69" s="47" t="n"/>
      <c r="S69" s="47" t="n"/>
      <c r="T69" s="47" t="n"/>
      <c r="U69" s="47" t="n"/>
      <c r="V69" s="47" t="n"/>
      <c r="W69" s="47" t="n"/>
      <c r="X69" s="41" t="n"/>
      <c r="Y69" s="41" t="n"/>
      <c r="Z69" s="41" t="n"/>
      <c r="AA69" s="41" t="n"/>
      <c r="AB69" s="41" t="n"/>
      <c r="AC69" s="41" t="n"/>
    </row>
    <row r="70" ht="14.25" customHeight="1" s="184">
      <c r="A70" s="41" t="n"/>
      <c r="B70" s="41" t="n"/>
      <c r="C70" s="41" t="n"/>
      <c r="D70" s="205" t="n"/>
      <c r="E70" s="41" t="n"/>
      <c r="F70" s="41" t="n"/>
      <c r="G70" s="41" t="n"/>
      <c r="H70" s="41" t="n"/>
      <c r="I70" s="41" t="n"/>
      <c r="J70" s="41" t="n"/>
      <c r="K70" s="41" t="n"/>
      <c r="L70" s="41" t="n"/>
      <c r="M70" s="41" t="n"/>
      <c r="N70" s="42" t="n"/>
      <c r="O70" s="43" t="inlineStr">
        <is>
          <t>Capaian Sasaran 1</t>
        </is>
      </c>
      <c r="P70" s="44" t="inlineStr">
        <is>
          <t>rata2 capaian IKU 12</t>
        </is>
      </c>
      <c r="Q70" s="41" t="n"/>
      <c r="R70" s="41" t="n"/>
      <c r="S70" s="47" t="n"/>
      <c r="T70" s="41" t="n"/>
      <c r="U70" s="41" t="n"/>
      <c r="V70" s="41" t="n"/>
      <c r="W70" s="47" t="n"/>
      <c r="X70" s="41" t="n"/>
      <c r="Y70" s="41" t="n"/>
      <c r="Z70" s="41" t="n"/>
      <c r="AA70" s="41" t="n"/>
      <c r="AB70" s="41" t="n"/>
      <c r="AC70" s="41" t="n"/>
    </row>
    <row r="71" ht="14.25" customHeight="1" s="184">
      <c r="A71" s="41" t="n"/>
      <c r="B71" s="41" t="n"/>
      <c r="C71" s="41" t="n"/>
      <c r="D71" s="205" t="n"/>
      <c r="E71" s="41" t="n"/>
      <c r="F71" s="41" t="n"/>
      <c r="G71" s="41" t="n"/>
      <c r="H71" s="41" t="n"/>
      <c r="I71" s="41" t="n"/>
      <c r="J71" s="41" t="n"/>
      <c r="K71" s="41" t="n"/>
      <c r="L71" s="41" t="n"/>
      <c r="M71" s="41" t="n"/>
      <c r="N71" s="42" t="n"/>
      <c r="O71" s="43" t="inlineStr">
        <is>
          <t>Capaian Sasaran 2</t>
        </is>
      </c>
      <c r="P71" s="44" t="inlineStr">
        <is>
          <t>rata2 capaian IKU 34</t>
        </is>
      </c>
      <c r="Q71" s="41" t="n"/>
      <c r="R71" s="41" t="n"/>
      <c r="S71" s="47" t="n"/>
      <c r="T71" s="41" t="n"/>
      <c r="U71" s="41" t="n"/>
      <c r="V71" s="41" t="n"/>
      <c r="W71" s="47" t="n"/>
      <c r="X71" s="41" t="n"/>
      <c r="Y71" s="41" t="n"/>
      <c r="Z71" s="41" t="n"/>
      <c r="AA71" s="41" t="n"/>
      <c r="AB71" s="41" t="n"/>
      <c r="AC71" s="41" t="n"/>
    </row>
    <row r="72" ht="14.25" customHeight="1" s="184">
      <c r="A72" s="41" t="n"/>
      <c r="B72" s="41" t="n"/>
      <c r="C72" s="41" t="n"/>
      <c r="D72" s="205" t="n"/>
      <c r="E72" s="41" t="n"/>
      <c r="F72" s="41" t="n"/>
      <c r="G72" s="41" t="n"/>
      <c r="H72" s="41" t="n"/>
      <c r="I72" s="41" t="n"/>
      <c r="J72" s="41" t="n"/>
      <c r="K72" s="41" t="n"/>
      <c r="L72" s="41" t="n"/>
      <c r="M72" s="41" t="n"/>
      <c r="N72" s="42" t="n"/>
      <c r="O72" s="43" t="inlineStr">
        <is>
          <t>Capaian Tujuan 1</t>
        </is>
      </c>
      <c r="P72" s="41" t="n"/>
      <c r="Q72" s="41" t="n"/>
      <c r="R72" s="41" t="n"/>
      <c r="S72" s="47" t="n"/>
      <c r="T72" s="41" t="n"/>
      <c r="U72" s="41" t="n"/>
      <c r="V72" s="41" t="n"/>
      <c r="W72" s="47" t="n"/>
      <c r="X72" s="41" t="n"/>
      <c r="Y72" s="41" t="n"/>
      <c r="Z72" s="41" t="n"/>
      <c r="AA72" s="41" t="n"/>
      <c r="AB72" s="41" t="n"/>
      <c r="AC72" s="41" t="n"/>
    </row>
    <row r="73" ht="14.25" customHeight="1" s="184">
      <c r="A73" s="41" t="n"/>
      <c r="B73" s="41" t="n"/>
      <c r="C73" s="41" t="n"/>
      <c r="D73" s="209" t="n"/>
      <c r="E73" s="41" t="n"/>
      <c r="F73" s="41" t="n"/>
      <c r="G73" s="41" t="n"/>
      <c r="H73" s="41" t="n"/>
      <c r="I73" s="41" t="n"/>
      <c r="J73" s="41" t="n"/>
      <c r="K73" s="41" t="n"/>
      <c r="L73" s="41" t="n"/>
      <c r="M73" s="41" t="n"/>
      <c r="N73" s="42" t="n"/>
      <c r="O73" s="43" t="inlineStr">
        <is>
          <t>Capaian Tujuan 2</t>
        </is>
      </c>
      <c r="P73" s="41" t="n"/>
      <c r="Q73" s="41" t="n"/>
      <c r="R73" s="41" t="n"/>
      <c r="S73" s="47" t="n"/>
      <c r="T73" s="41" t="n"/>
      <c r="U73" s="41" t="n"/>
      <c r="V73" s="41" t="n"/>
      <c r="W73" s="47" t="n"/>
      <c r="X73" s="41" t="n"/>
      <c r="Y73" s="41" t="n"/>
      <c r="Z73" s="41" t="n"/>
      <c r="AA73" s="41" t="n"/>
      <c r="AB73" s="41" t="n"/>
      <c r="AC73" s="41" t="n"/>
    </row>
    <row r="74" ht="14.25" customHeight="1" s="184"/>
    <row r="75" ht="14.25" customHeight="1" s="184"/>
    <row r="76" ht="14.25" customHeight="1" s="184"/>
    <row r="77" ht="14.25" customHeight="1" s="184"/>
    <row r="78" ht="14.25" customHeight="1" s="184"/>
    <row r="79" ht="14.25" customHeight="1" s="184"/>
    <row r="80" ht="14.25" customHeight="1" s="184"/>
    <row r="81" ht="14.25" customHeight="1" s="184"/>
    <row r="82" ht="14.25" customHeight="1" s="184"/>
    <row r="83" ht="14.25" customHeight="1" s="184"/>
    <row r="84" ht="14.25" customHeight="1" s="184"/>
    <row r="85" ht="14.25" customHeight="1" s="184"/>
    <row r="86" ht="14.25" customHeight="1" s="184"/>
    <row r="87" ht="14.25" customHeight="1" s="184"/>
    <row r="88" ht="14.25" customHeight="1" s="184"/>
    <row r="89" ht="14.25" customHeight="1" s="184"/>
    <row r="90" ht="14.25" customHeight="1" s="184"/>
    <row r="91" ht="14.25" customHeight="1" s="184"/>
    <row r="92" ht="14.25" customHeight="1" s="184"/>
    <row r="93" ht="14.25" customHeight="1" s="184"/>
    <row r="94" ht="14.25" customHeight="1" s="184"/>
    <row r="95" ht="14.25" customHeight="1" s="184"/>
    <row r="96" ht="14.25" customHeight="1" s="184"/>
    <row r="97" ht="14.25" customHeight="1" s="184"/>
    <row r="98" ht="14.25" customHeight="1" s="184"/>
    <row r="99" ht="14.25" customHeight="1" s="184"/>
    <row r="100" ht="14.25" customHeight="1" s="184"/>
    <row r="101" ht="14.25" customHeight="1" s="184"/>
    <row r="102" ht="14.25" customHeight="1" s="184"/>
    <row r="103" ht="14.25" customHeight="1" s="184"/>
    <row r="104" ht="14.25" customHeight="1" s="184"/>
    <row r="105" ht="14.25" customHeight="1" s="184"/>
    <row r="106" ht="14.25" customHeight="1" s="184"/>
    <row r="107" ht="14.25" customHeight="1" s="184"/>
    <row r="108" ht="14.25" customHeight="1" s="184"/>
    <row r="109" ht="14.25" customHeight="1" s="184"/>
    <row r="110" ht="14.25" customHeight="1" s="184"/>
    <row r="111" ht="14.25" customHeight="1" s="184"/>
    <row r="112" ht="14.25" customHeight="1" s="184"/>
    <row r="113" ht="14.25" customHeight="1" s="184"/>
    <row r="114" ht="14.25" customHeight="1" s="184"/>
    <row r="115" ht="14.25" customHeight="1" s="184"/>
    <row r="116" ht="14.25" customHeight="1" s="184"/>
    <row r="117" ht="14.25" customHeight="1" s="184"/>
    <row r="118" ht="14.25" customHeight="1" s="184"/>
    <row r="119" ht="14.25" customHeight="1" s="184"/>
    <row r="120" ht="14.25" customHeight="1" s="184"/>
    <row r="121" ht="14.25" customHeight="1" s="184"/>
    <row r="122" ht="14.25" customHeight="1" s="184"/>
    <row r="123" ht="14.25" customHeight="1" s="184"/>
    <row r="124" ht="14.25" customHeight="1" s="184"/>
    <row r="125" ht="14.25" customHeight="1" s="184"/>
    <row r="126" ht="14.25" customHeight="1" s="184"/>
    <row r="127" ht="14.25" customHeight="1" s="184"/>
    <row r="128" ht="14.25" customHeight="1" s="184"/>
    <row r="129" ht="14.25" customHeight="1" s="184"/>
    <row r="130" ht="14.25" customHeight="1" s="184"/>
    <row r="131" ht="14.25" customHeight="1" s="184"/>
    <row r="132" ht="14.25" customHeight="1" s="184"/>
    <row r="133" ht="14.25" customHeight="1" s="184"/>
    <row r="134" ht="14.25" customHeight="1" s="184"/>
    <row r="135" ht="14.25" customHeight="1" s="184"/>
    <row r="136" ht="14.25" customHeight="1" s="184"/>
    <row r="137" ht="14.25" customHeight="1" s="184"/>
    <row r="138" ht="14.25" customHeight="1" s="184"/>
    <row r="139" ht="14.25" customHeight="1" s="184"/>
    <row r="140" ht="14.25" customHeight="1" s="184"/>
    <row r="141" ht="14.25" customHeight="1" s="184"/>
    <row r="142" ht="14.25" customHeight="1" s="184"/>
    <row r="143" ht="14.25" customHeight="1" s="184"/>
    <row r="144" ht="14.25" customHeight="1" s="184"/>
    <row r="145" ht="14.25" customHeight="1" s="184"/>
    <row r="146" ht="14.25" customHeight="1" s="184"/>
    <row r="147" ht="14.25" customHeight="1" s="184"/>
    <row r="148" ht="14.25" customHeight="1" s="184"/>
    <row r="149" ht="14.25" customHeight="1" s="184"/>
    <row r="150" ht="14.25" customHeight="1" s="184"/>
    <row r="151" ht="14.25" customHeight="1" s="184"/>
    <row r="152" ht="14.25" customHeight="1" s="184"/>
    <row r="153" ht="14.25" customHeight="1" s="184"/>
    <row r="154" ht="14.25" customHeight="1" s="184"/>
    <row r="155" ht="14.25" customHeight="1" s="184"/>
    <row r="156" ht="14.25" customHeight="1" s="184"/>
    <row r="157" ht="14.25" customHeight="1" s="184"/>
    <row r="158" ht="14.25" customHeight="1" s="184"/>
    <row r="159" ht="14.25" customHeight="1" s="184"/>
    <row r="160" ht="14.25" customHeight="1" s="184"/>
    <row r="161" ht="14.25" customHeight="1" s="184"/>
    <row r="162" ht="14.25" customHeight="1" s="184"/>
    <row r="163" ht="14.25" customHeight="1" s="184"/>
    <row r="164" ht="14.25" customHeight="1" s="184"/>
    <row r="165" ht="14.25" customHeight="1" s="184"/>
    <row r="166" ht="14.25" customHeight="1" s="184"/>
    <row r="167" ht="14.25" customHeight="1" s="184"/>
    <row r="168" ht="14.25" customHeight="1" s="184"/>
    <row r="169" ht="14.25" customHeight="1" s="184"/>
    <row r="170" ht="14.25" customHeight="1" s="184"/>
    <row r="171" ht="14.25" customHeight="1" s="184"/>
    <row r="172" ht="14.25" customHeight="1" s="184"/>
    <row r="173" ht="14.25" customHeight="1" s="184"/>
    <row r="174" ht="14.25" customHeight="1" s="184"/>
    <row r="175" ht="14.25" customHeight="1" s="184"/>
    <row r="176" ht="14.25" customHeight="1" s="184"/>
    <row r="177" ht="14.25" customHeight="1" s="184"/>
    <row r="178" ht="14.25" customHeight="1" s="184"/>
    <row r="179" ht="14.25" customHeight="1" s="184"/>
    <row r="180" ht="14.25" customHeight="1" s="184"/>
    <row r="181" ht="14.25" customHeight="1" s="184"/>
    <row r="182" ht="14.25" customHeight="1" s="184"/>
    <row r="183" ht="14.25" customHeight="1" s="184"/>
    <row r="184" ht="14.25" customHeight="1" s="184"/>
    <row r="185" ht="14.25" customHeight="1" s="184"/>
    <row r="186" ht="14.25" customHeight="1" s="184"/>
    <row r="187" ht="14.25" customHeight="1" s="184"/>
    <row r="188" ht="14.25" customHeight="1" s="184"/>
    <row r="189" ht="14.25" customHeight="1" s="184"/>
    <row r="190" ht="14.25" customHeight="1" s="184"/>
    <row r="191" ht="14.25" customHeight="1" s="184"/>
    <row r="192" ht="14.25" customHeight="1" s="184"/>
    <row r="193" ht="14.25" customHeight="1" s="184"/>
    <row r="194" ht="14.25" customHeight="1" s="184"/>
    <row r="195" ht="14.25" customHeight="1" s="184"/>
    <row r="196" ht="14.25" customHeight="1" s="184"/>
    <row r="197" ht="14.25" customHeight="1" s="184"/>
    <row r="198" ht="14.25" customHeight="1" s="184"/>
    <row r="199" ht="14.25" customHeight="1" s="184"/>
    <row r="200" ht="14.25" customHeight="1" s="184"/>
    <row r="201" ht="14.25" customHeight="1" s="184"/>
    <row r="202" ht="14.25" customHeight="1" s="184"/>
    <row r="203" ht="14.25" customHeight="1" s="184"/>
    <row r="204" ht="14.25" customHeight="1" s="184"/>
    <row r="205" ht="14.25" customHeight="1" s="184"/>
    <row r="206" ht="14.25" customHeight="1" s="184"/>
    <row r="207" ht="14.25" customHeight="1" s="184"/>
    <row r="208" ht="14.25" customHeight="1" s="184"/>
    <row r="209" ht="14.25" customHeight="1" s="184"/>
    <row r="210" ht="14.25" customHeight="1" s="184"/>
    <row r="211" ht="14.25" customHeight="1" s="184"/>
    <row r="212" ht="14.25" customHeight="1" s="184"/>
    <row r="213" ht="14.25" customHeight="1" s="184"/>
    <row r="214" ht="14.25" customHeight="1" s="184"/>
    <row r="215" ht="14.25" customHeight="1" s="184"/>
    <row r="216" ht="14.25" customHeight="1" s="184"/>
    <row r="217" ht="14.25" customHeight="1" s="184"/>
    <row r="218" ht="14.25" customHeight="1" s="184"/>
    <row r="219" ht="14.25" customHeight="1" s="184"/>
    <row r="220" ht="14.25" customHeight="1" s="184"/>
    <row r="221" ht="14.25" customHeight="1" s="184"/>
    <row r="222" ht="14.25" customHeight="1" s="184"/>
    <row r="223" ht="14.25" customHeight="1" s="184"/>
    <row r="224" ht="14.25" customHeight="1" s="184"/>
    <row r="225" ht="14.25" customHeight="1" s="184"/>
    <row r="226" ht="14.25" customHeight="1" s="184"/>
    <row r="227" ht="14.25" customHeight="1" s="184"/>
    <row r="228" ht="14.25" customHeight="1" s="184"/>
    <row r="229" ht="14.25" customHeight="1" s="184"/>
    <row r="230" ht="14.25" customHeight="1" s="184"/>
    <row r="231" ht="14.25" customHeight="1" s="184"/>
    <row r="232" ht="14.25" customHeight="1" s="184"/>
    <row r="233" ht="14.25" customHeight="1" s="184"/>
    <row r="234" ht="14.25" customHeight="1" s="184"/>
    <row r="235" ht="14.25" customHeight="1" s="184"/>
    <row r="236" ht="14.25" customHeight="1" s="184"/>
    <row r="237" ht="14.25" customHeight="1" s="184"/>
    <row r="238" ht="14.25" customHeight="1" s="184"/>
    <row r="239" ht="14.25" customHeight="1" s="184"/>
    <row r="240" ht="14.25" customHeight="1" s="184"/>
    <row r="241" ht="14.25" customHeight="1" s="184"/>
    <row r="242" ht="14.25" customHeight="1" s="184"/>
    <row r="243" ht="14.25" customHeight="1" s="184"/>
    <row r="244" ht="14.25" customHeight="1" s="184"/>
    <row r="245" ht="14.25" customHeight="1" s="184"/>
    <row r="246" ht="14.25" customHeight="1" s="184"/>
    <row r="247" ht="14.25" customHeight="1" s="184"/>
    <row r="248" ht="14.25" customHeight="1" s="184"/>
    <row r="249" ht="14.25" customHeight="1" s="184"/>
    <row r="250" ht="14.25" customHeight="1" s="184"/>
    <row r="251" ht="14.25" customHeight="1" s="184"/>
    <row r="252" ht="14.25" customHeight="1" s="184"/>
    <row r="253" ht="14.25" customHeight="1" s="184"/>
    <row r="254" ht="14.25" customHeight="1" s="184"/>
    <row r="255" ht="14.25" customHeight="1" s="184"/>
    <row r="256" ht="14.25" customHeight="1" s="184"/>
    <row r="257" ht="14.25" customHeight="1" s="184"/>
    <row r="258" ht="14.25" customHeight="1" s="184"/>
    <row r="259" ht="14.25" customHeight="1" s="184"/>
    <row r="260" ht="14.25" customHeight="1" s="184"/>
    <row r="261" ht="14.25" customHeight="1" s="184"/>
    <row r="262" ht="14.25" customHeight="1" s="184"/>
    <row r="263" ht="14.25" customHeight="1" s="184"/>
    <row r="264" ht="14.25" customHeight="1" s="184"/>
    <row r="265" ht="14.25" customHeight="1" s="184"/>
    <row r="266" ht="14.25" customHeight="1" s="184"/>
    <row r="267" ht="14.25" customHeight="1" s="184"/>
    <row r="268" ht="14.25" customHeight="1" s="184"/>
    <row r="269" ht="14.25" customHeight="1" s="184"/>
    <row r="270" ht="14.25" customHeight="1" s="184"/>
    <row r="271" ht="14.25" customHeight="1" s="184"/>
    <row r="272" ht="14.25" customHeight="1" s="184"/>
    <row r="273" ht="14.2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mergeCells count="18">
    <mergeCell ref="T3:W3"/>
    <mergeCell ref="D62:D73"/>
    <mergeCell ref="AC3:AC4"/>
    <mergeCell ref="AA3:AA4"/>
    <mergeCell ref="A2:D4"/>
    <mergeCell ref="F2:F4"/>
    <mergeCell ref="G2:G4"/>
    <mergeCell ref="P3:S3"/>
    <mergeCell ref="X3:X4"/>
    <mergeCell ref="Y3:Y4"/>
    <mergeCell ref="AB3:AB4"/>
    <mergeCell ref="Z3:Z4"/>
    <mergeCell ref="P2:W2"/>
    <mergeCell ref="H2:K3"/>
    <mergeCell ref="D27:D38"/>
    <mergeCell ref="L2:O3"/>
    <mergeCell ref="E2:E4"/>
    <mergeCell ref="X2:AC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2026-01-16T23:47:35Z</dcterms:created>
  <dcterms:modified xmlns:dcterms="http://purl.org/dc/terms/" xmlns:xsi="http://www.w3.org/2001/XMLSchema-instance" xsi:type="dcterms:W3CDTF">2026-08-18T06:03:12Z</dcterms:modified>
  <cp:lastModifiedBy>muhammad mantsani</cp:lastModifiedBy>
</cp:coreProperties>
</file>